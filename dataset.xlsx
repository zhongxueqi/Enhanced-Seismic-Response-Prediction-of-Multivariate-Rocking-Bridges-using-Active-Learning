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0.paper\Yu_Qiyao\2.calculation_2nd\cascaded classification-regression model\"/>
    </mc:Choice>
  </mc:AlternateContent>
  <xr:revisionPtr revIDLastSave="0" documentId="13_ncr:1_{FBEA95F2-B31A-4FAB-8D3E-E2D6E3C04E3E}" xr6:coauthVersionLast="47" xr6:coauthVersionMax="47" xr10:uidLastSave="{00000000-0000-0000-0000-000000000000}"/>
  <bookViews>
    <workbookView xWindow="18360" yWindow="3620" windowWidth="17450" windowHeight="9950" xr2:uid="{00000000-000D-0000-FFFF-FFFF00000000}"/>
  </bookViews>
  <sheets>
    <sheet name="AllFeature" sheetId="2" r:id="rId1"/>
  </sheets>
  <definedNames>
    <definedName name="_xlnm._FilterDatabase" localSheetId="0" hidden="1">AllFeature!$N$1:$N$578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78" i="2" l="1"/>
  <c r="G578" i="2"/>
  <c r="H577" i="2"/>
  <c r="G577" i="2"/>
  <c r="H576" i="2"/>
  <c r="G576" i="2"/>
  <c r="H575" i="2"/>
  <c r="G575" i="2"/>
  <c r="H574" i="2"/>
  <c r="G574" i="2"/>
  <c r="H573" i="2"/>
  <c r="G573" i="2"/>
  <c r="H572" i="2"/>
  <c r="G572" i="2"/>
  <c r="H571" i="2"/>
  <c r="G571" i="2"/>
  <c r="H570" i="2"/>
  <c r="G570" i="2"/>
  <c r="H569" i="2"/>
  <c r="G569" i="2"/>
  <c r="H568" i="2"/>
  <c r="G568" i="2"/>
  <c r="H567" i="2"/>
  <c r="G567" i="2"/>
  <c r="H566" i="2"/>
  <c r="G566" i="2"/>
  <c r="H565" i="2"/>
  <c r="G565" i="2"/>
  <c r="H564" i="2"/>
  <c r="G564" i="2"/>
  <c r="H563" i="2"/>
  <c r="G563" i="2"/>
  <c r="H562" i="2"/>
  <c r="G562" i="2"/>
  <c r="H561" i="2"/>
  <c r="G561" i="2"/>
  <c r="H560" i="2"/>
  <c r="G560" i="2"/>
  <c r="H559" i="2"/>
  <c r="G559" i="2"/>
  <c r="H558" i="2"/>
  <c r="G558" i="2"/>
  <c r="H557" i="2"/>
  <c r="G557" i="2"/>
  <c r="H556" i="2"/>
  <c r="G556" i="2"/>
  <c r="H555" i="2"/>
  <c r="G555" i="2"/>
  <c r="H554" i="2"/>
  <c r="G554" i="2"/>
  <c r="H553" i="2"/>
  <c r="G553" i="2"/>
  <c r="H552" i="2"/>
  <c r="G552" i="2"/>
  <c r="H551" i="2"/>
  <c r="G551" i="2"/>
  <c r="H550" i="2"/>
  <c r="G550" i="2"/>
  <c r="H549" i="2"/>
  <c r="G549" i="2"/>
  <c r="H548" i="2"/>
  <c r="G548" i="2"/>
  <c r="H547" i="2"/>
  <c r="G547" i="2"/>
  <c r="H546" i="2"/>
  <c r="G546" i="2"/>
  <c r="H545" i="2"/>
  <c r="G545" i="2"/>
  <c r="H544" i="2"/>
  <c r="G544" i="2"/>
  <c r="H543" i="2"/>
  <c r="G543" i="2"/>
  <c r="H542" i="2"/>
  <c r="G542" i="2"/>
  <c r="H541" i="2"/>
  <c r="G541" i="2"/>
  <c r="H540" i="2"/>
  <c r="G540" i="2"/>
  <c r="H539" i="2"/>
  <c r="G539" i="2"/>
  <c r="H538" i="2"/>
  <c r="G538" i="2"/>
  <c r="H537" i="2"/>
  <c r="G537" i="2"/>
  <c r="H536" i="2"/>
  <c r="G536" i="2"/>
  <c r="H535" i="2"/>
  <c r="G535" i="2"/>
  <c r="H534" i="2"/>
  <c r="G534" i="2"/>
  <c r="H533" i="2"/>
  <c r="G533" i="2"/>
  <c r="H532" i="2"/>
  <c r="G532" i="2"/>
  <c r="H531" i="2"/>
  <c r="G531" i="2"/>
  <c r="H530" i="2"/>
  <c r="G530" i="2"/>
  <c r="H529" i="2"/>
  <c r="G529" i="2"/>
  <c r="H528" i="2"/>
  <c r="G528" i="2"/>
  <c r="H527" i="2"/>
  <c r="G527" i="2"/>
  <c r="H526" i="2"/>
  <c r="G526" i="2"/>
  <c r="H525" i="2"/>
  <c r="G525" i="2"/>
  <c r="H524" i="2"/>
  <c r="G524" i="2"/>
  <c r="H523" i="2"/>
  <c r="G523" i="2"/>
  <c r="H522" i="2"/>
  <c r="G522" i="2"/>
  <c r="H521" i="2"/>
  <c r="G521" i="2"/>
  <c r="H520" i="2"/>
  <c r="G520" i="2"/>
  <c r="H519" i="2"/>
  <c r="G519" i="2"/>
  <c r="H518" i="2"/>
  <c r="G518" i="2"/>
  <c r="H517" i="2"/>
  <c r="G517" i="2"/>
  <c r="H516" i="2"/>
  <c r="G516" i="2"/>
  <c r="H515" i="2"/>
  <c r="G515" i="2"/>
  <c r="H514" i="2"/>
  <c r="G514" i="2"/>
  <c r="H513" i="2"/>
  <c r="G513" i="2"/>
  <c r="H512" i="2"/>
  <c r="G512" i="2"/>
  <c r="H511" i="2"/>
  <c r="G511" i="2"/>
  <c r="H510" i="2"/>
  <c r="G510" i="2"/>
  <c r="H509" i="2"/>
  <c r="G509" i="2"/>
  <c r="H508" i="2"/>
  <c r="G508" i="2"/>
  <c r="H507" i="2"/>
  <c r="G507" i="2"/>
  <c r="H506" i="2"/>
  <c r="G506" i="2"/>
  <c r="H505" i="2"/>
  <c r="G505" i="2"/>
  <c r="H504" i="2"/>
  <c r="G504" i="2"/>
  <c r="H503" i="2"/>
  <c r="G503" i="2"/>
  <c r="H502" i="2"/>
  <c r="G502" i="2"/>
  <c r="H501" i="2"/>
  <c r="G501" i="2"/>
  <c r="H500" i="2"/>
  <c r="G500" i="2"/>
  <c r="H499" i="2"/>
  <c r="G499" i="2"/>
  <c r="H498" i="2"/>
  <c r="G498" i="2"/>
  <c r="H497" i="2"/>
  <c r="G497" i="2"/>
  <c r="H496" i="2"/>
  <c r="G496" i="2"/>
  <c r="H495" i="2"/>
  <c r="G495" i="2"/>
  <c r="H494" i="2"/>
  <c r="G494" i="2"/>
  <c r="H493" i="2"/>
  <c r="G493" i="2"/>
  <c r="H492" i="2"/>
  <c r="G492" i="2"/>
  <c r="H491" i="2"/>
  <c r="G491" i="2"/>
  <c r="H490" i="2"/>
  <c r="G490" i="2"/>
  <c r="H489" i="2"/>
  <c r="G489" i="2"/>
  <c r="H488" i="2"/>
  <c r="G488" i="2"/>
  <c r="H487" i="2"/>
  <c r="G487" i="2"/>
  <c r="H486" i="2"/>
  <c r="G486" i="2"/>
  <c r="H485" i="2"/>
  <c r="G485" i="2"/>
  <c r="H484" i="2"/>
  <c r="G484" i="2"/>
  <c r="H483" i="2"/>
  <c r="G483" i="2"/>
  <c r="H482" i="2"/>
  <c r="G482" i="2"/>
  <c r="H481" i="2"/>
  <c r="G481" i="2"/>
  <c r="H480" i="2"/>
  <c r="G480" i="2"/>
  <c r="H479" i="2"/>
  <c r="G479" i="2"/>
  <c r="H478" i="2"/>
  <c r="G478" i="2"/>
  <c r="H477" i="2"/>
  <c r="G477" i="2"/>
  <c r="H476" i="2"/>
  <c r="G476" i="2"/>
  <c r="H475" i="2"/>
  <c r="G475" i="2"/>
  <c r="H474" i="2"/>
  <c r="G474" i="2"/>
  <c r="H473" i="2"/>
  <c r="G473" i="2"/>
  <c r="H472" i="2"/>
  <c r="G472" i="2"/>
  <c r="H471" i="2"/>
  <c r="G471" i="2"/>
  <c r="H470" i="2"/>
  <c r="G470" i="2"/>
  <c r="H469" i="2"/>
  <c r="G469" i="2"/>
  <c r="H468" i="2"/>
  <c r="G468" i="2"/>
  <c r="H467" i="2"/>
  <c r="G467" i="2"/>
  <c r="H466" i="2"/>
  <c r="G466" i="2"/>
  <c r="H465" i="2"/>
  <c r="G465" i="2"/>
  <c r="H464" i="2"/>
  <c r="G464" i="2"/>
  <c r="H463" i="2"/>
  <c r="G463" i="2"/>
  <c r="H462" i="2"/>
  <c r="G462" i="2"/>
  <c r="H461" i="2"/>
  <c r="G461" i="2"/>
  <c r="H460" i="2"/>
  <c r="G460" i="2"/>
  <c r="H459" i="2"/>
  <c r="G459" i="2"/>
  <c r="H458" i="2"/>
  <c r="G458" i="2"/>
  <c r="H457" i="2"/>
  <c r="G457" i="2"/>
  <c r="H456" i="2"/>
  <c r="G456" i="2"/>
  <c r="H455" i="2"/>
  <c r="G455" i="2"/>
  <c r="H454" i="2"/>
  <c r="G454" i="2"/>
  <c r="H453" i="2"/>
  <c r="G453" i="2"/>
  <c r="H452" i="2"/>
  <c r="G452" i="2"/>
  <c r="H451" i="2"/>
  <c r="G451" i="2"/>
  <c r="H450" i="2"/>
  <c r="G450" i="2"/>
  <c r="H449" i="2"/>
  <c r="G449" i="2"/>
  <c r="H448" i="2"/>
  <c r="G448" i="2"/>
  <c r="H447" i="2"/>
  <c r="G447" i="2"/>
  <c r="H446" i="2"/>
  <c r="G446" i="2"/>
  <c r="H445" i="2"/>
  <c r="G445" i="2"/>
  <c r="H444" i="2"/>
  <c r="G444" i="2"/>
  <c r="H443" i="2"/>
  <c r="G443" i="2"/>
  <c r="H442" i="2"/>
  <c r="G442" i="2"/>
  <c r="H441" i="2"/>
  <c r="G441" i="2"/>
  <c r="H440" i="2"/>
  <c r="G440" i="2"/>
  <c r="H439" i="2"/>
  <c r="G439" i="2"/>
  <c r="H438" i="2"/>
  <c r="G438" i="2"/>
  <c r="H437" i="2"/>
  <c r="G437" i="2"/>
  <c r="H436" i="2"/>
  <c r="G436" i="2"/>
  <c r="H435" i="2"/>
  <c r="G435" i="2"/>
  <c r="H434" i="2"/>
  <c r="G434" i="2"/>
  <c r="H433" i="2"/>
  <c r="G433" i="2"/>
  <c r="H432" i="2"/>
  <c r="G432" i="2"/>
  <c r="H431" i="2"/>
  <c r="G431" i="2"/>
  <c r="H430" i="2"/>
  <c r="G430" i="2"/>
  <c r="H429" i="2"/>
  <c r="G429" i="2"/>
  <c r="H428" i="2"/>
  <c r="G428" i="2"/>
  <c r="H427" i="2"/>
  <c r="G427" i="2"/>
  <c r="H426" i="2"/>
  <c r="G426" i="2"/>
  <c r="H425" i="2"/>
  <c r="G425" i="2"/>
  <c r="H424" i="2"/>
  <c r="G424" i="2"/>
  <c r="H423" i="2"/>
  <c r="G423" i="2"/>
  <c r="H422" i="2"/>
  <c r="G422" i="2"/>
  <c r="H421" i="2"/>
  <c r="G421" i="2"/>
  <c r="H420" i="2"/>
  <c r="G420" i="2"/>
  <c r="H419" i="2"/>
  <c r="G419" i="2"/>
  <c r="H418" i="2"/>
  <c r="G418" i="2"/>
  <c r="H417" i="2"/>
  <c r="G417" i="2"/>
  <c r="H416" i="2"/>
  <c r="G416" i="2"/>
  <c r="H415" i="2"/>
  <c r="G415" i="2"/>
  <c r="H414" i="2"/>
  <c r="G414" i="2"/>
  <c r="H413" i="2"/>
  <c r="G413" i="2"/>
  <c r="H412" i="2"/>
  <c r="G412" i="2"/>
  <c r="H411" i="2"/>
  <c r="G411" i="2"/>
  <c r="H410" i="2"/>
  <c r="G410" i="2"/>
  <c r="H409" i="2"/>
  <c r="G409" i="2"/>
  <c r="H408" i="2"/>
  <c r="G408" i="2"/>
  <c r="H407" i="2"/>
  <c r="G407" i="2"/>
  <c r="H406" i="2"/>
  <c r="G406" i="2"/>
  <c r="H405" i="2"/>
  <c r="G405" i="2"/>
  <c r="H404" i="2"/>
  <c r="G404" i="2"/>
  <c r="H403" i="2"/>
  <c r="G403" i="2"/>
  <c r="H402" i="2"/>
  <c r="G402" i="2"/>
  <c r="H401" i="2"/>
  <c r="G401" i="2"/>
  <c r="H400" i="2"/>
  <c r="G400" i="2"/>
  <c r="H399" i="2"/>
  <c r="G399" i="2"/>
  <c r="H398" i="2"/>
  <c r="G398" i="2"/>
  <c r="H397" i="2"/>
  <c r="G397" i="2"/>
  <c r="H396" i="2"/>
  <c r="G396" i="2"/>
  <c r="H395" i="2"/>
  <c r="G395" i="2"/>
  <c r="H394" i="2"/>
  <c r="G394" i="2"/>
  <c r="H393" i="2"/>
  <c r="G393" i="2"/>
  <c r="H392" i="2"/>
  <c r="G392" i="2"/>
  <c r="H391" i="2"/>
  <c r="G391" i="2"/>
  <c r="H390" i="2"/>
  <c r="G390" i="2"/>
  <c r="H389" i="2"/>
  <c r="G389" i="2"/>
  <c r="H388" i="2"/>
  <c r="G388" i="2"/>
  <c r="H387" i="2"/>
  <c r="G387" i="2"/>
  <c r="H386" i="2"/>
  <c r="G386" i="2"/>
  <c r="H385" i="2"/>
  <c r="G385" i="2"/>
  <c r="H384" i="2"/>
  <c r="G384" i="2"/>
  <c r="H383" i="2"/>
  <c r="G383" i="2"/>
  <c r="H382" i="2"/>
  <c r="G382" i="2"/>
  <c r="H381" i="2"/>
  <c r="G381" i="2"/>
  <c r="H380" i="2"/>
  <c r="G380" i="2"/>
  <c r="H379" i="2"/>
  <c r="G379" i="2"/>
  <c r="H378" i="2"/>
  <c r="G378" i="2"/>
  <c r="H377" i="2"/>
  <c r="G377" i="2"/>
  <c r="H376" i="2"/>
  <c r="G376" i="2"/>
  <c r="H375" i="2"/>
  <c r="G375" i="2"/>
  <c r="H374" i="2"/>
  <c r="G374" i="2"/>
  <c r="H373" i="2"/>
  <c r="G373" i="2"/>
  <c r="H372" i="2"/>
  <c r="G372" i="2"/>
  <c r="H371" i="2"/>
  <c r="G371" i="2"/>
  <c r="H370" i="2"/>
  <c r="G370" i="2"/>
  <c r="H369" i="2"/>
  <c r="G369" i="2"/>
  <c r="H368" i="2"/>
  <c r="G368" i="2"/>
  <c r="H367" i="2"/>
  <c r="G367" i="2"/>
  <c r="H366" i="2"/>
  <c r="G366" i="2"/>
  <c r="H365" i="2"/>
  <c r="G365" i="2"/>
  <c r="H364" i="2"/>
  <c r="G364" i="2"/>
  <c r="H363" i="2"/>
  <c r="G363" i="2"/>
  <c r="H362" i="2"/>
  <c r="G362" i="2"/>
  <c r="H361" i="2"/>
  <c r="G361" i="2"/>
  <c r="H360" i="2"/>
  <c r="G360" i="2"/>
  <c r="H359" i="2"/>
  <c r="G359" i="2"/>
  <c r="H358" i="2"/>
  <c r="G358" i="2"/>
  <c r="H357" i="2"/>
  <c r="G357" i="2"/>
  <c r="H356" i="2"/>
  <c r="G356" i="2"/>
  <c r="H355" i="2"/>
  <c r="G355" i="2"/>
  <c r="H354" i="2"/>
  <c r="G354" i="2"/>
  <c r="H353" i="2"/>
  <c r="G353" i="2"/>
  <c r="H352" i="2"/>
  <c r="G352" i="2"/>
  <c r="H351" i="2"/>
  <c r="G351" i="2"/>
  <c r="H350" i="2"/>
  <c r="G350" i="2"/>
  <c r="H349" i="2"/>
  <c r="G349" i="2"/>
  <c r="H348" i="2"/>
  <c r="G348" i="2"/>
  <c r="H347" i="2"/>
  <c r="G347" i="2"/>
  <c r="H346" i="2"/>
  <c r="G346" i="2"/>
  <c r="H345" i="2"/>
  <c r="G345" i="2"/>
  <c r="H344" i="2"/>
  <c r="G344" i="2"/>
  <c r="H343" i="2"/>
  <c r="G343" i="2"/>
  <c r="H342" i="2"/>
  <c r="G342" i="2"/>
  <c r="H341" i="2"/>
  <c r="G341" i="2"/>
  <c r="H340" i="2"/>
  <c r="G340" i="2"/>
  <c r="H339" i="2"/>
  <c r="G339" i="2"/>
  <c r="H338" i="2"/>
  <c r="G338" i="2"/>
  <c r="H337" i="2"/>
  <c r="G337" i="2"/>
  <c r="H336" i="2"/>
  <c r="G336" i="2"/>
  <c r="H335" i="2"/>
  <c r="G335" i="2"/>
  <c r="H334" i="2"/>
  <c r="G334" i="2"/>
  <c r="H333" i="2"/>
  <c r="G333" i="2"/>
  <c r="H332" i="2"/>
  <c r="G332" i="2"/>
  <c r="H331" i="2"/>
  <c r="G331" i="2"/>
  <c r="H330" i="2"/>
  <c r="G330" i="2"/>
  <c r="H329" i="2"/>
  <c r="G329" i="2"/>
  <c r="H328" i="2"/>
  <c r="G328" i="2"/>
  <c r="H327" i="2"/>
  <c r="G327" i="2"/>
  <c r="H326" i="2"/>
  <c r="G326" i="2"/>
  <c r="H325" i="2"/>
  <c r="G325" i="2"/>
  <c r="H324" i="2"/>
  <c r="G324" i="2"/>
  <c r="H323" i="2"/>
  <c r="G323" i="2"/>
  <c r="H322" i="2"/>
  <c r="G322" i="2"/>
  <c r="H321" i="2"/>
  <c r="G321" i="2"/>
  <c r="H320" i="2"/>
  <c r="G320" i="2"/>
  <c r="H319" i="2"/>
  <c r="G319" i="2"/>
  <c r="H318" i="2"/>
  <c r="G318" i="2"/>
  <c r="H317" i="2"/>
  <c r="G317" i="2"/>
  <c r="H316" i="2"/>
  <c r="G316" i="2"/>
  <c r="H315" i="2"/>
  <c r="G315" i="2"/>
  <c r="H314" i="2"/>
  <c r="G314" i="2"/>
  <c r="H313" i="2"/>
  <c r="G313" i="2"/>
  <c r="H312" i="2"/>
  <c r="G312" i="2"/>
  <c r="H311" i="2"/>
  <c r="G311" i="2"/>
  <c r="H310" i="2"/>
  <c r="G310" i="2"/>
  <c r="H309" i="2"/>
  <c r="G309" i="2"/>
  <c r="H308" i="2"/>
  <c r="G308" i="2"/>
  <c r="H307" i="2"/>
  <c r="G307" i="2"/>
  <c r="H306" i="2"/>
  <c r="G306" i="2"/>
  <c r="H305" i="2"/>
  <c r="G305" i="2"/>
  <c r="H304" i="2"/>
  <c r="G304" i="2"/>
  <c r="H303" i="2"/>
  <c r="G303" i="2"/>
  <c r="H302" i="2"/>
  <c r="G302" i="2"/>
  <c r="H301" i="2"/>
  <c r="G301" i="2"/>
  <c r="H300" i="2"/>
  <c r="G300" i="2"/>
  <c r="H299" i="2"/>
  <c r="G299" i="2"/>
  <c r="H298" i="2"/>
  <c r="G298" i="2"/>
  <c r="H297" i="2"/>
  <c r="G297" i="2"/>
  <c r="H296" i="2"/>
  <c r="G296" i="2"/>
  <c r="H295" i="2"/>
  <c r="G295" i="2"/>
  <c r="H294" i="2"/>
  <c r="G294" i="2"/>
  <c r="H293" i="2"/>
  <c r="G293" i="2"/>
  <c r="H292" i="2"/>
  <c r="G292" i="2"/>
  <c r="H291" i="2"/>
  <c r="G291" i="2"/>
  <c r="H290" i="2"/>
  <c r="G290" i="2"/>
  <c r="H289" i="2"/>
  <c r="G289" i="2"/>
  <c r="H288" i="2"/>
  <c r="G288" i="2"/>
  <c r="H287" i="2"/>
  <c r="G287" i="2"/>
  <c r="H286" i="2"/>
  <c r="G286" i="2"/>
  <c r="H285" i="2"/>
  <c r="G285" i="2"/>
  <c r="H284" i="2"/>
  <c r="G284" i="2"/>
  <c r="H283" i="2"/>
  <c r="G283" i="2"/>
  <c r="H282" i="2"/>
  <c r="G282" i="2"/>
  <c r="H281" i="2"/>
  <c r="G281" i="2"/>
  <c r="H280" i="2"/>
  <c r="G280" i="2"/>
  <c r="H279" i="2"/>
  <c r="G279" i="2"/>
  <c r="H278" i="2"/>
  <c r="G278" i="2"/>
  <c r="H277" i="2"/>
  <c r="G277" i="2"/>
  <c r="H276" i="2"/>
  <c r="G276" i="2"/>
  <c r="H275" i="2"/>
  <c r="G275" i="2"/>
  <c r="H274" i="2"/>
  <c r="G274" i="2"/>
  <c r="H273" i="2"/>
  <c r="G273" i="2"/>
  <c r="H272" i="2"/>
  <c r="G272" i="2"/>
  <c r="H271" i="2"/>
  <c r="G271" i="2"/>
  <c r="H270" i="2"/>
  <c r="G270" i="2"/>
  <c r="H269" i="2"/>
  <c r="G269" i="2"/>
  <c r="H268" i="2"/>
  <c r="G268" i="2"/>
  <c r="H267" i="2"/>
  <c r="G267" i="2"/>
  <c r="H266" i="2"/>
  <c r="G266" i="2"/>
  <c r="H265" i="2"/>
  <c r="G265" i="2"/>
  <c r="H264" i="2"/>
  <c r="G264" i="2"/>
  <c r="H263" i="2"/>
  <c r="G263" i="2"/>
  <c r="H262" i="2"/>
  <c r="G262" i="2"/>
  <c r="H261" i="2"/>
  <c r="G261" i="2"/>
  <c r="H260" i="2"/>
  <c r="G260" i="2"/>
  <c r="H259" i="2"/>
  <c r="G259" i="2"/>
  <c r="H258" i="2"/>
  <c r="G258" i="2"/>
  <c r="H257" i="2"/>
  <c r="G257" i="2"/>
  <c r="H256" i="2"/>
  <c r="G256" i="2"/>
  <c r="H255" i="2"/>
  <c r="G255" i="2"/>
  <c r="H254" i="2"/>
  <c r="G254" i="2"/>
  <c r="H253" i="2"/>
  <c r="G253" i="2"/>
  <c r="H252" i="2"/>
  <c r="G252" i="2"/>
  <c r="H251" i="2"/>
  <c r="G251" i="2"/>
  <c r="H250" i="2"/>
  <c r="G250" i="2"/>
  <c r="H249" i="2"/>
  <c r="G249" i="2"/>
  <c r="H248" i="2"/>
  <c r="G248" i="2"/>
  <c r="H247" i="2"/>
  <c r="G247" i="2"/>
  <c r="H246" i="2"/>
  <c r="G246" i="2"/>
  <c r="H245" i="2"/>
  <c r="G245" i="2"/>
  <c r="H244" i="2"/>
  <c r="G244" i="2"/>
  <c r="H243" i="2"/>
  <c r="G243" i="2"/>
  <c r="H242" i="2"/>
  <c r="G242" i="2"/>
  <c r="H241" i="2"/>
  <c r="G241" i="2"/>
  <c r="H240" i="2"/>
  <c r="G240" i="2"/>
  <c r="H239" i="2"/>
  <c r="G239" i="2"/>
  <c r="H238" i="2"/>
  <c r="G238" i="2"/>
  <c r="H237" i="2"/>
  <c r="G237" i="2"/>
  <c r="H236" i="2"/>
  <c r="G236" i="2"/>
  <c r="H235" i="2"/>
  <c r="G235" i="2"/>
  <c r="H234" i="2"/>
  <c r="G234" i="2"/>
  <c r="H233" i="2"/>
  <c r="G233" i="2"/>
  <c r="H232" i="2"/>
  <c r="G232" i="2"/>
  <c r="H231" i="2"/>
  <c r="G231" i="2"/>
  <c r="H230" i="2"/>
  <c r="G230" i="2"/>
  <c r="H229" i="2"/>
  <c r="G229" i="2"/>
  <c r="H228" i="2"/>
  <c r="G228" i="2"/>
  <c r="H227" i="2"/>
  <c r="G227" i="2"/>
  <c r="H226" i="2"/>
  <c r="G226" i="2"/>
  <c r="H225" i="2"/>
  <c r="G225" i="2"/>
  <c r="H224" i="2"/>
  <c r="G224" i="2"/>
  <c r="H223" i="2"/>
  <c r="G223" i="2"/>
  <c r="H222" i="2"/>
  <c r="G222" i="2"/>
  <c r="H221" i="2"/>
  <c r="G221" i="2"/>
  <c r="H220" i="2"/>
  <c r="G220" i="2"/>
  <c r="H219" i="2"/>
  <c r="G219" i="2"/>
  <c r="H218" i="2"/>
  <c r="G218" i="2"/>
  <c r="H217" i="2"/>
  <c r="G217" i="2"/>
  <c r="H216" i="2"/>
  <c r="G216" i="2"/>
  <c r="H215" i="2"/>
  <c r="G215" i="2"/>
  <c r="H214" i="2"/>
  <c r="G214" i="2"/>
  <c r="H213" i="2"/>
  <c r="G213" i="2"/>
  <c r="H212" i="2"/>
  <c r="G212" i="2"/>
  <c r="H211" i="2"/>
  <c r="G211" i="2"/>
  <c r="H210" i="2"/>
  <c r="G210" i="2"/>
  <c r="H209" i="2"/>
  <c r="G209" i="2"/>
  <c r="H208" i="2"/>
  <c r="G208" i="2"/>
  <c r="H207" i="2"/>
  <c r="G207" i="2"/>
  <c r="H206" i="2"/>
  <c r="G206" i="2"/>
  <c r="H205" i="2"/>
  <c r="G205" i="2"/>
  <c r="H204" i="2"/>
  <c r="G204" i="2"/>
  <c r="H203" i="2"/>
  <c r="G203" i="2"/>
  <c r="H202" i="2"/>
  <c r="G202" i="2"/>
  <c r="H201" i="2"/>
  <c r="G201" i="2"/>
  <c r="H200" i="2"/>
  <c r="G200" i="2"/>
  <c r="H199" i="2"/>
  <c r="G199" i="2"/>
  <c r="H198" i="2"/>
  <c r="G198" i="2"/>
  <c r="H197" i="2"/>
  <c r="G197" i="2"/>
  <c r="H196" i="2"/>
  <c r="G196" i="2"/>
  <c r="H195" i="2"/>
  <c r="G195" i="2"/>
  <c r="H194" i="2"/>
  <c r="G194" i="2"/>
  <c r="H193" i="2"/>
  <c r="G193" i="2"/>
  <c r="H192" i="2"/>
  <c r="G192" i="2"/>
  <c r="H191" i="2"/>
  <c r="G191" i="2"/>
  <c r="H190" i="2"/>
  <c r="G190" i="2"/>
  <c r="H189" i="2"/>
  <c r="G189" i="2"/>
  <c r="H188" i="2"/>
  <c r="G188" i="2"/>
  <c r="H187" i="2"/>
  <c r="D187" i="2"/>
  <c r="G187" i="2" s="1"/>
  <c r="H186" i="2"/>
  <c r="D186" i="2"/>
  <c r="G186" i="2" s="1"/>
  <c r="H185" i="2"/>
  <c r="D185" i="2"/>
  <c r="G185" i="2" s="1"/>
  <c r="H184" i="2"/>
  <c r="D184" i="2"/>
  <c r="G184" i="2" s="1"/>
  <c r="H183" i="2"/>
  <c r="D183" i="2"/>
  <c r="G183" i="2" s="1"/>
  <c r="H182" i="2"/>
  <c r="D182" i="2"/>
  <c r="G182" i="2" s="1"/>
  <c r="H181" i="2"/>
  <c r="D181" i="2"/>
  <c r="G181" i="2" s="1"/>
  <c r="H180" i="2"/>
  <c r="D180" i="2"/>
  <c r="G180" i="2" s="1"/>
  <c r="H179" i="2"/>
  <c r="D179" i="2"/>
  <c r="G179" i="2" s="1"/>
  <c r="H178" i="2"/>
  <c r="D178" i="2"/>
  <c r="G178" i="2" s="1"/>
  <c r="H177" i="2"/>
  <c r="D177" i="2"/>
  <c r="G177" i="2" s="1"/>
  <c r="H176" i="2"/>
  <c r="D176" i="2"/>
  <c r="G176" i="2" s="1"/>
  <c r="H175" i="2"/>
  <c r="D175" i="2"/>
  <c r="G175" i="2" s="1"/>
  <c r="H174" i="2"/>
  <c r="D174" i="2"/>
  <c r="G174" i="2" s="1"/>
  <c r="H173" i="2"/>
  <c r="D173" i="2"/>
  <c r="G173" i="2" s="1"/>
  <c r="H172" i="2"/>
  <c r="D172" i="2"/>
  <c r="G172" i="2" s="1"/>
  <c r="H171" i="2"/>
  <c r="D171" i="2"/>
  <c r="G171" i="2" s="1"/>
  <c r="H170" i="2"/>
  <c r="D170" i="2"/>
  <c r="G170" i="2" s="1"/>
  <c r="H169" i="2"/>
  <c r="D169" i="2"/>
  <c r="G169" i="2" s="1"/>
  <c r="H168" i="2"/>
  <c r="D168" i="2"/>
  <c r="G168" i="2" s="1"/>
  <c r="H167" i="2"/>
  <c r="D167" i="2"/>
  <c r="G167" i="2" s="1"/>
  <c r="H166" i="2"/>
  <c r="D166" i="2"/>
  <c r="G166" i="2" s="1"/>
  <c r="H165" i="2"/>
  <c r="D165" i="2"/>
  <c r="G165" i="2" s="1"/>
  <c r="H164" i="2"/>
  <c r="D164" i="2"/>
  <c r="G164" i="2" s="1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D152" i="2"/>
  <c r="G152" i="2" s="1"/>
  <c r="H151" i="2"/>
  <c r="D151" i="2"/>
  <c r="G151" i="2" s="1"/>
  <c r="H150" i="2"/>
  <c r="D150" i="2"/>
  <c r="G150" i="2" s="1"/>
  <c r="H149" i="2"/>
  <c r="D149" i="2"/>
  <c r="G149" i="2" s="1"/>
  <c r="H148" i="2"/>
  <c r="D148" i="2"/>
  <c r="G148" i="2" s="1"/>
  <c r="H147" i="2"/>
  <c r="D147" i="2"/>
  <c r="G147" i="2" s="1"/>
  <c r="H146" i="2"/>
  <c r="D146" i="2"/>
  <c r="G146" i="2" s="1"/>
  <c r="H145" i="2"/>
  <c r="D145" i="2"/>
  <c r="G145" i="2" s="1"/>
  <c r="H144" i="2"/>
  <c r="D144" i="2"/>
  <c r="G144" i="2" s="1"/>
  <c r="H143" i="2"/>
  <c r="D143" i="2"/>
  <c r="G143" i="2" s="1"/>
  <c r="H142" i="2"/>
  <c r="D142" i="2"/>
  <c r="G142" i="2" s="1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D31" i="2"/>
  <c r="G31" i="2" s="1"/>
  <c r="H30" i="2"/>
  <c r="D30" i="2"/>
  <c r="G30" i="2" s="1"/>
  <c r="H29" i="2"/>
  <c r="D29" i="2"/>
  <c r="G29" i="2" s="1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</calcChain>
</file>

<file path=xl/sharedStrings.xml><?xml version="1.0" encoding="utf-8"?>
<sst xmlns="http://schemas.openxmlformats.org/spreadsheetml/2006/main" count="14" uniqueCount="14">
  <si>
    <t>B</t>
  </si>
  <si>
    <t>H</t>
    <phoneticPr fontId="4" type="noConversion"/>
  </si>
  <si>
    <t>t</t>
    <phoneticPr fontId="4" type="noConversion"/>
  </si>
  <si>
    <t>L</t>
    <phoneticPr fontId="4" type="noConversion"/>
  </si>
  <si>
    <t>fy</t>
    <phoneticPr fontId="4" type="noConversion"/>
  </si>
  <si>
    <t>fck</t>
    <phoneticPr fontId="5" type="noConversion"/>
  </si>
  <si>
    <r>
      <rPr>
        <sz val="11"/>
        <color rgb="FF000000"/>
        <rFont val="宋体"/>
        <family val="3"/>
        <charset val="134"/>
      </rPr>
      <t>α</t>
    </r>
  </si>
  <si>
    <r>
      <rPr>
        <sz val="11"/>
        <color rgb="FF000000"/>
        <rFont val="等线"/>
        <family val="3"/>
        <charset val="134"/>
      </rPr>
      <t>ξ</t>
    </r>
  </si>
  <si>
    <t>L_B</t>
    <phoneticPr fontId="5" type="noConversion"/>
  </si>
  <si>
    <t>B_t</t>
    <phoneticPr fontId="5" type="noConversion"/>
  </si>
  <si>
    <t>Failure</t>
    <phoneticPr fontId="4" type="noConversion"/>
  </si>
  <si>
    <t>Asfy</t>
  </si>
  <si>
    <t>Acfck</t>
    <phoneticPr fontId="1" type="noConversion"/>
  </si>
  <si>
    <t>Pu(kN)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</si>
</sst>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Courier"/>
    </font>
    <font>
      <sz val="11"/>
      <color rgb="FF000000"/>
      <name val="等线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Border="0"/>
  </cellStyleXfs>
  <cellXfs count="15">
    <xf numFmtId="0" fontId="0" fillId="0" borderId="0" xfId="0"/>
    <xf numFmtId="0" fontId="0" fillId="2" borderId="0" xfId="0" applyFill="1" applyAlignment="1">
      <alignment vertical="center"/>
    </xf>
    <xf numFmtId="0" fontId="3" fillId="2" borderId="0" xfId="0" applyFont="1" applyFill="1"/>
    <xf numFmtId="176" fontId="3" fillId="2" borderId="0" xfId="0" applyNumberFormat="1" applyFont="1" applyFill="1"/>
    <xf numFmtId="177" fontId="3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vertical="center"/>
    </xf>
    <xf numFmtId="0" fontId="7" fillId="2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/>
    </xf>
    <xf numFmtId="0" fontId="0" fillId="2" borderId="0" xfId="0" applyFill="1"/>
    <xf numFmtId="2" fontId="8" fillId="2" borderId="1" xfId="0" applyNumberFormat="1" applyFont="1" applyFill="1" applyBorder="1" applyAlignment="1">
      <alignment horizontal="center"/>
    </xf>
    <xf numFmtId="2" fontId="9" fillId="2" borderId="1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 wrapText="1"/>
    </xf>
    <xf numFmtId="2" fontId="8" fillId="2" borderId="1" xfId="1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</cellXfs>
  <cellStyles count="2">
    <cellStyle name="Normal_SHORT1" xfId="1" xr:uid="{EC41136D-3D08-4E11-8B7E-2A4F0A4E8596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3458F-F9D9-4182-B442-9876DFBF2E62}">
  <dimension ref="A1:N578"/>
  <sheetViews>
    <sheetView tabSelected="1" workbookViewId="0">
      <selection activeCell="J17" sqref="J17"/>
    </sheetView>
  </sheetViews>
  <sheetFormatPr defaultRowHeight="14" x14ac:dyDescent="0.25"/>
  <cols>
    <col min="1" max="12" width="8.7265625" style="6"/>
    <col min="14" max="14" width="8.7265625" style="6"/>
  </cols>
  <sheetData>
    <row r="1" spans="1:14" ht="14.5" x14ac:dyDescent="0.3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8</v>
      </c>
      <c r="H1" s="2" t="s">
        <v>9</v>
      </c>
      <c r="I1" s="5" t="s">
        <v>6</v>
      </c>
      <c r="J1" s="2" t="s">
        <v>7</v>
      </c>
      <c r="K1" s="2" t="s">
        <v>11</v>
      </c>
      <c r="L1" s="2" t="s">
        <v>12</v>
      </c>
      <c r="M1" s="2" t="s">
        <v>13</v>
      </c>
      <c r="N1" s="2" t="s">
        <v>10</v>
      </c>
    </row>
    <row r="2" spans="1:14" x14ac:dyDescent="0.25">
      <c r="A2" s="1">
        <v>101.3</v>
      </c>
      <c r="B2" s="1">
        <v>101.3</v>
      </c>
      <c r="C2" s="1">
        <v>4.97</v>
      </c>
      <c r="D2" s="1">
        <v>300</v>
      </c>
      <c r="E2" s="1">
        <v>347.3</v>
      </c>
      <c r="F2" s="1">
        <v>45.919999999999995</v>
      </c>
      <c r="G2" s="1">
        <f t="shared" ref="G2:G65" si="0">D2/A2</f>
        <v>2.9615004935834155</v>
      </c>
      <c r="H2" s="1">
        <f t="shared" ref="H2:H65" si="1">A2/C2</f>
        <v>20.382293762575454</v>
      </c>
      <c r="I2" s="1">
        <v>0.22943821674267936</v>
      </c>
      <c r="J2" s="1">
        <v>1.7352764084218761</v>
      </c>
      <c r="K2" s="1">
        <v>665093.53091999935</v>
      </c>
      <c r="L2" s="1">
        <v>383278.14963199996</v>
      </c>
      <c r="M2">
        <v>1310</v>
      </c>
      <c r="N2" s="6">
        <v>0</v>
      </c>
    </row>
    <row r="3" spans="1:14" x14ac:dyDescent="0.25">
      <c r="A3" s="1">
        <v>103.6</v>
      </c>
      <c r="B3" s="1">
        <v>103.6</v>
      </c>
      <c r="C3" s="1">
        <v>4.9000000000000004</v>
      </c>
      <c r="D3" s="1">
        <v>300</v>
      </c>
      <c r="E3" s="1">
        <v>347.3</v>
      </c>
      <c r="F3" s="1">
        <v>45.919999999999995</v>
      </c>
      <c r="G3" s="1">
        <f t="shared" si="0"/>
        <v>2.8957528957528957</v>
      </c>
      <c r="H3" s="1">
        <f t="shared" si="1"/>
        <v>21.142857142857139</v>
      </c>
      <c r="I3" s="1">
        <v>0.21987079527734471</v>
      </c>
      <c r="J3" s="1">
        <v>1.6629165330971654</v>
      </c>
      <c r="K3" s="1">
        <v>671858.79600000021</v>
      </c>
      <c r="L3" s="1">
        <v>404024.36479999986</v>
      </c>
      <c r="M3">
        <v>1340</v>
      </c>
      <c r="N3" s="6">
        <v>0</v>
      </c>
    </row>
    <row r="4" spans="1:14" x14ac:dyDescent="0.25">
      <c r="A4" s="1">
        <v>102</v>
      </c>
      <c r="B4" s="1">
        <v>102</v>
      </c>
      <c r="C4" s="1">
        <v>4.97</v>
      </c>
      <c r="D4" s="1">
        <v>300</v>
      </c>
      <c r="E4" s="1">
        <v>347.3</v>
      </c>
      <c r="F4" s="1">
        <v>45.919999999999995</v>
      </c>
      <c r="G4" s="1">
        <f t="shared" si="0"/>
        <v>2.9411764705882355</v>
      </c>
      <c r="H4" s="1">
        <f t="shared" si="1"/>
        <v>20.52313883299799</v>
      </c>
      <c r="I4" s="1">
        <v>0.22760430400617632</v>
      </c>
      <c r="J4" s="1">
        <v>1.7214062452383501</v>
      </c>
      <c r="K4" s="1">
        <v>669926.55771999969</v>
      </c>
      <c r="L4" s="1">
        <v>389174.00211200002</v>
      </c>
      <c r="M4">
        <v>1370</v>
      </c>
      <c r="N4" s="6">
        <v>0</v>
      </c>
    </row>
    <row r="5" spans="1:14" x14ac:dyDescent="0.25">
      <c r="A5" s="1">
        <v>142</v>
      </c>
      <c r="B5" s="1">
        <v>142</v>
      </c>
      <c r="C5" s="1">
        <v>5.1100000000000003</v>
      </c>
      <c r="D5" s="1">
        <v>420</v>
      </c>
      <c r="E5" s="1">
        <v>347.3</v>
      </c>
      <c r="F5" s="1">
        <v>45.919999999999995</v>
      </c>
      <c r="G5" s="1">
        <f t="shared" si="0"/>
        <v>2.9577464788732395</v>
      </c>
      <c r="H5" s="1">
        <f t="shared" si="1"/>
        <v>27.788649706457925</v>
      </c>
      <c r="I5" s="1">
        <v>0.16112154160087025</v>
      </c>
      <c r="J5" s="1">
        <v>1.2185869206877666</v>
      </c>
      <c r="K5" s="1">
        <v>971756.37467999954</v>
      </c>
      <c r="L5" s="1">
        <v>797445.268928</v>
      </c>
      <c r="M5">
        <v>2160</v>
      </c>
      <c r="N5" s="6">
        <v>0</v>
      </c>
    </row>
    <row r="6" spans="1:14" x14ac:dyDescent="0.25">
      <c r="A6" s="1">
        <v>142</v>
      </c>
      <c r="B6" s="1">
        <v>142</v>
      </c>
      <c r="C6" s="1">
        <v>5.08</v>
      </c>
      <c r="D6" s="1">
        <v>420</v>
      </c>
      <c r="E6" s="1">
        <v>347.3</v>
      </c>
      <c r="F6" s="1">
        <v>45.919999999999995</v>
      </c>
      <c r="G6" s="1">
        <f t="shared" si="0"/>
        <v>2.9577464788732395</v>
      </c>
      <c r="H6" s="1">
        <f t="shared" si="1"/>
        <v>27.952755905511811</v>
      </c>
      <c r="I6" s="1">
        <v>0.16006493602130273</v>
      </c>
      <c r="J6" s="1">
        <v>1.2105956507011857</v>
      </c>
      <c r="K6" s="1">
        <v>966263.06112000032</v>
      </c>
      <c r="L6" s="1">
        <v>798171.59475199983</v>
      </c>
      <c r="M6">
        <v>2250</v>
      </c>
      <c r="N6" s="6">
        <v>0</v>
      </c>
    </row>
    <row r="7" spans="1:14" x14ac:dyDescent="0.25">
      <c r="A7" s="1">
        <v>142</v>
      </c>
      <c r="B7" s="1">
        <v>142</v>
      </c>
      <c r="C7" s="1">
        <v>5.07</v>
      </c>
      <c r="D7" s="1">
        <v>420</v>
      </c>
      <c r="E7" s="1">
        <v>347.3</v>
      </c>
      <c r="F7" s="1">
        <v>45.919999999999995</v>
      </c>
      <c r="G7" s="1">
        <f t="shared" si="0"/>
        <v>2.9577464788732395</v>
      </c>
      <c r="H7" s="1">
        <f t="shared" si="1"/>
        <v>28.007889546351084</v>
      </c>
      <c r="I7" s="1">
        <v>0.15971305464438595</v>
      </c>
      <c r="J7" s="1">
        <v>1.2079343179005935</v>
      </c>
      <c r="K7" s="1">
        <v>964431.40091999865</v>
      </c>
      <c r="L7" s="1">
        <v>798413.77683200012</v>
      </c>
      <c r="M7">
        <v>2280</v>
      </c>
      <c r="N7" s="6">
        <v>0</v>
      </c>
    </row>
    <row r="8" spans="1:14" x14ac:dyDescent="0.25">
      <c r="A8" s="1">
        <v>142.1</v>
      </c>
      <c r="B8" s="1">
        <v>142.1</v>
      </c>
      <c r="C8" s="1">
        <v>3.02</v>
      </c>
      <c r="D8" s="1">
        <v>420</v>
      </c>
      <c r="E8" s="1">
        <v>255.1</v>
      </c>
      <c r="F8" s="1">
        <v>41.79</v>
      </c>
      <c r="G8" s="1">
        <f t="shared" si="0"/>
        <v>2.9556650246305418</v>
      </c>
      <c r="H8" s="1">
        <f t="shared" si="1"/>
        <v>47.05298013245033</v>
      </c>
      <c r="I8" s="1">
        <v>9.0755025479351506E-2</v>
      </c>
      <c r="J8" s="1">
        <v>0.5539987317488051</v>
      </c>
      <c r="K8" s="1">
        <v>428590.04064000002</v>
      </c>
      <c r="L8" s="1">
        <v>773630.00324400002</v>
      </c>
      <c r="M8">
        <v>1360</v>
      </c>
      <c r="N8" s="6">
        <v>0</v>
      </c>
    </row>
    <row r="9" spans="1:14" x14ac:dyDescent="0.25">
      <c r="A9" s="1">
        <v>142.1</v>
      </c>
      <c r="B9" s="1">
        <v>142.1</v>
      </c>
      <c r="C9" s="1">
        <v>3.02</v>
      </c>
      <c r="D9" s="1">
        <v>420</v>
      </c>
      <c r="E9" s="1">
        <v>255.1</v>
      </c>
      <c r="F9" s="1">
        <v>41.79</v>
      </c>
      <c r="G9" s="1">
        <f t="shared" si="0"/>
        <v>2.9556650246305418</v>
      </c>
      <c r="H9" s="1">
        <f t="shared" si="1"/>
        <v>47.05298013245033</v>
      </c>
      <c r="I9" s="1">
        <v>9.0755025479351506E-2</v>
      </c>
      <c r="J9" s="1">
        <v>0.5539987317488051</v>
      </c>
      <c r="K9" s="1">
        <v>428590.04064000002</v>
      </c>
      <c r="L9" s="1">
        <v>773630.00324400002</v>
      </c>
      <c r="M9">
        <v>1150</v>
      </c>
      <c r="N9" s="6">
        <v>0</v>
      </c>
    </row>
    <row r="10" spans="1:14" x14ac:dyDescent="0.25">
      <c r="A10" s="1">
        <v>143.1</v>
      </c>
      <c r="B10" s="1">
        <v>143.1</v>
      </c>
      <c r="C10" s="1">
        <v>3.02</v>
      </c>
      <c r="D10" s="1">
        <v>420</v>
      </c>
      <c r="E10" s="1">
        <v>255.1</v>
      </c>
      <c r="F10" s="1">
        <v>41.79</v>
      </c>
      <c r="G10" s="1">
        <f t="shared" si="0"/>
        <v>2.9350104821802936</v>
      </c>
      <c r="H10" s="1">
        <f t="shared" si="1"/>
        <v>47.384105960264897</v>
      </c>
      <c r="I10" s="1">
        <v>9.0078596813119416E-2</v>
      </c>
      <c r="J10" s="1">
        <v>0.54986958715067624</v>
      </c>
      <c r="K10" s="1">
        <v>431671.64863999863</v>
      </c>
      <c r="L10" s="1">
        <v>785043.68804400007</v>
      </c>
      <c r="M10">
        <v>1328</v>
      </c>
      <c r="N10" s="6">
        <v>0</v>
      </c>
    </row>
    <row r="11" spans="1:14" x14ac:dyDescent="0.25">
      <c r="A11" s="1">
        <v>142.1</v>
      </c>
      <c r="B11" s="1">
        <v>142.1</v>
      </c>
      <c r="C11" s="1">
        <v>2.0099999999999998</v>
      </c>
      <c r="D11" s="1">
        <v>420</v>
      </c>
      <c r="E11" s="1">
        <v>305.10000000000002</v>
      </c>
      <c r="F11" s="1">
        <v>41.79</v>
      </c>
      <c r="G11" s="1">
        <f t="shared" si="0"/>
        <v>2.9556650246305418</v>
      </c>
      <c r="H11" s="1">
        <f t="shared" si="1"/>
        <v>70.696517412935322</v>
      </c>
      <c r="I11" s="1">
        <v>5.907471393814745E-2</v>
      </c>
      <c r="J11" s="1">
        <v>0.43129206084060279</v>
      </c>
      <c r="K11" s="1">
        <v>343641.33036000107</v>
      </c>
      <c r="L11" s="1">
        <v>796771.75065599987</v>
      </c>
      <c r="M11">
        <v>1328</v>
      </c>
      <c r="N11" s="6">
        <v>0</v>
      </c>
    </row>
    <row r="12" spans="1:14" x14ac:dyDescent="0.25">
      <c r="A12" s="1">
        <v>142.1</v>
      </c>
      <c r="B12" s="1">
        <v>142.1</v>
      </c>
      <c r="C12" s="1">
        <v>2.0099999999999998</v>
      </c>
      <c r="D12" s="1">
        <v>420</v>
      </c>
      <c r="E12" s="1">
        <v>305.10000000000002</v>
      </c>
      <c r="F12" s="1">
        <v>41.79</v>
      </c>
      <c r="G12" s="1">
        <f t="shared" si="0"/>
        <v>2.9556650246305418</v>
      </c>
      <c r="H12" s="1">
        <f t="shared" si="1"/>
        <v>70.696517412935322</v>
      </c>
      <c r="I12" s="1">
        <v>5.907471393814745E-2</v>
      </c>
      <c r="J12" s="1">
        <v>0.43129206084060279</v>
      </c>
      <c r="K12" s="1">
        <v>343641.33036000107</v>
      </c>
      <c r="L12" s="1">
        <v>796771.75065599987</v>
      </c>
      <c r="M12">
        <v>1364</v>
      </c>
      <c r="N12" s="6">
        <v>0</v>
      </c>
    </row>
    <row r="13" spans="1:14" x14ac:dyDescent="0.25">
      <c r="A13" s="1">
        <v>140.9</v>
      </c>
      <c r="B13" s="1">
        <v>140.9</v>
      </c>
      <c r="C13" s="1">
        <v>2.02</v>
      </c>
      <c r="D13" s="1">
        <v>420</v>
      </c>
      <c r="E13" s="1">
        <v>305.10000000000002</v>
      </c>
      <c r="F13" s="1">
        <v>41.79</v>
      </c>
      <c r="G13" s="1">
        <f t="shared" si="0"/>
        <v>2.9808374733853795</v>
      </c>
      <c r="H13" s="1">
        <f t="shared" si="1"/>
        <v>69.752475247524757</v>
      </c>
      <c r="I13" s="1">
        <v>5.9909817591260829E-2</v>
      </c>
      <c r="J13" s="1">
        <v>0.4373889769584513</v>
      </c>
      <c r="K13" s="1">
        <v>342368.08703999961</v>
      </c>
      <c r="L13" s="1">
        <v>782754.26468400005</v>
      </c>
      <c r="M13">
        <v>1280</v>
      </c>
      <c r="N13" s="6">
        <v>0</v>
      </c>
    </row>
    <row r="14" spans="1:14" x14ac:dyDescent="0.25">
      <c r="A14" s="1">
        <v>103.5</v>
      </c>
      <c r="B14" s="1">
        <v>103.5</v>
      </c>
      <c r="C14" s="1">
        <v>5.01</v>
      </c>
      <c r="D14" s="1">
        <v>300</v>
      </c>
      <c r="E14" s="1">
        <v>347.3</v>
      </c>
      <c r="F14" s="1">
        <v>55.719999999999992</v>
      </c>
      <c r="G14" s="1">
        <f t="shared" si="0"/>
        <v>2.8985507246376812</v>
      </c>
      <c r="H14" s="1">
        <f t="shared" si="1"/>
        <v>20.658682634730539</v>
      </c>
      <c r="I14" s="1">
        <v>0.22586682508268213</v>
      </c>
      <c r="J14" s="1">
        <v>1.4078167327928128</v>
      </c>
      <c r="K14" s="1">
        <v>685479.76307999971</v>
      </c>
      <c r="L14" s="1">
        <v>486909.79948799999</v>
      </c>
      <c r="M14">
        <v>1500</v>
      </c>
      <c r="N14" s="6">
        <v>0</v>
      </c>
    </row>
    <row r="15" spans="1:14" x14ac:dyDescent="0.25">
      <c r="A15" s="1">
        <v>102.1</v>
      </c>
      <c r="B15" s="1">
        <v>102.1</v>
      </c>
      <c r="C15" s="1">
        <v>4.97</v>
      </c>
      <c r="D15" s="1">
        <v>300</v>
      </c>
      <c r="E15" s="1">
        <v>347.3</v>
      </c>
      <c r="F15" s="1">
        <v>55.719999999999992</v>
      </c>
      <c r="G15" s="1">
        <f t="shared" si="0"/>
        <v>2.9382957884427032</v>
      </c>
      <c r="H15" s="1">
        <f t="shared" si="1"/>
        <v>20.543259557344065</v>
      </c>
      <c r="I15" s="1">
        <v>0.22734470131956483</v>
      </c>
      <c r="J15" s="1">
        <v>1.4170282621730956</v>
      </c>
      <c r="K15" s="1">
        <v>670616.99011999951</v>
      </c>
      <c r="L15" s="1">
        <v>473255.9032319999</v>
      </c>
      <c r="M15">
        <v>1330</v>
      </c>
      <c r="N15" s="6">
        <v>0</v>
      </c>
    </row>
    <row r="16" spans="1:14" x14ac:dyDescent="0.25">
      <c r="A16" s="1">
        <v>101.9</v>
      </c>
      <c r="B16" s="1">
        <v>101.9</v>
      </c>
      <c r="C16" s="1">
        <v>5.03</v>
      </c>
      <c r="D16" s="1">
        <v>300</v>
      </c>
      <c r="E16" s="1">
        <v>347.3</v>
      </c>
      <c r="F16" s="1">
        <v>55.719999999999992</v>
      </c>
      <c r="G16" s="1">
        <f t="shared" si="0"/>
        <v>2.9440628066732089</v>
      </c>
      <c r="H16" s="1">
        <f t="shared" si="1"/>
        <v>20.258449304174949</v>
      </c>
      <c r="I16" s="1">
        <v>0.23107530024948708</v>
      </c>
      <c r="J16" s="1">
        <v>1.4402809005141219</v>
      </c>
      <c r="K16" s="1">
        <v>676896.1741200001</v>
      </c>
      <c r="L16" s="1">
        <v>469975.10963199998</v>
      </c>
      <c r="M16">
        <v>1440</v>
      </c>
      <c r="N16" s="6">
        <v>0</v>
      </c>
    </row>
    <row r="17" spans="1:14" x14ac:dyDescent="0.25">
      <c r="A17" s="1">
        <v>142.30000000000001</v>
      </c>
      <c r="B17" s="1">
        <v>142.30000000000001</v>
      </c>
      <c r="C17" s="1">
        <v>5.09</v>
      </c>
      <c r="D17" s="1">
        <v>420</v>
      </c>
      <c r="E17" s="1">
        <v>347.3</v>
      </c>
      <c r="F17" s="1">
        <v>55.719999999999992</v>
      </c>
      <c r="G17" s="1">
        <f t="shared" si="0"/>
        <v>2.9515108924806746</v>
      </c>
      <c r="H17" s="1">
        <f t="shared" si="1"/>
        <v>27.956777996070731</v>
      </c>
      <c r="I17" s="1">
        <v>0.1600392133354491</v>
      </c>
      <c r="J17" s="1">
        <v>0.99751648943649462</v>
      </c>
      <c r="K17" s="1">
        <v>970215.75188000151</v>
      </c>
      <c r="L17" s="1">
        <v>972631.29196799989</v>
      </c>
      <c r="M17">
        <v>2520</v>
      </c>
      <c r="N17" s="6">
        <v>0</v>
      </c>
    </row>
    <row r="18" spans="1:14" x14ac:dyDescent="0.25">
      <c r="A18" s="1">
        <v>142.4</v>
      </c>
      <c r="B18" s="1">
        <v>142.4</v>
      </c>
      <c r="C18" s="1">
        <v>5.0999999999999996</v>
      </c>
      <c r="D18" s="1">
        <v>420</v>
      </c>
      <c r="E18" s="1">
        <v>347.3</v>
      </c>
      <c r="F18" s="1">
        <v>55.719999999999992</v>
      </c>
      <c r="G18" s="1">
        <f t="shared" si="0"/>
        <v>2.9494382022471908</v>
      </c>
      <c r="H18" s="1">
        <f t="shared" si="1"/>
        <v>27.921568627450984</v>
      </c>
      <c r="I18" s="1">
        <v>0.16026467027220009</v>
      </c>
      <c r="J18" s="1">
        <v>0.99892175135561934</v>
      </c>
      <c r="K18" s="1">
        <v>972759.51599999948</v>
      </c>
      <c r="L18" s="1">
        <v>973809.52480000001</v>
      </c>
      <c r="M18">
        <v>2610</v>
      </c>
      <c r="N18" s="6">
        <v>0</v>
      </c>
    </row>
    <row r="19" spans="1:14" x14ac:dyDescent="0.25">
      <c r="A19" s="1">
        <v>139.1</v>
      </c>
      <c r="B19" s="1">
        <v>139.1</v>
      </c>
      <c r="C19" s="1">
        <v>5.0599999999999996</v>
      </c>
      <c r="D19" s="1">
        <v>420</v>
      </c>
      <c r="E19" s="1">
        <v>347.3</v>
      </c>
      <c r="F19" s="1">
        <v>55.719999999999992</v>
      </c>
      <c r="G19" s="1">
        <f t="shared" si="0"/>
        <v>3.0194104960460102</v>
      </c>
      <c r="H19" s="1">
        <f t="shared" si="1"/>
        <v>27.490118577075101</v>
      </c>
      <c r="I19" s="1">
        <v>0.16307980449247403</v>
      </c>
      <c r="J19" s="1">
        <v>1.0164683435074702</v>
      </c>
      <c r="K19" s="1">
        <v>942214.34208000021</v>
      </c>
      <c r="L19" s="1">
        <v>926949.02708799974</v>
      </c>
      <c r="M19">
        <v>1700</v>
      </c>
      <c r="N19" s="6">
        <v>0</v>
      </c>
    </row>
    <row r="20" spans="1:14" x14ac:dyDescent="0.25">
      <c r="A20" s="1">
        <v>141.5</v>
      </c>
      <c r="B20" s="1">
        <v>141.5</v>
      </c>
      <c r="C20" s="1">
        <v>3.08</v>
      </c>
      <c r="D20" s="1">
        <v>420</v>
      </c>
      <c r="E20" s="1">
        <v>255.1</v>
      </c>
      <c r="F20" s="1">
        <v>55.719999999999992</v>
      </c>
      <c r="G20" s="1">
        <f t="shared" si="0"/>
        <v>2.9681978798586575</v>
      </c>
      <c r="H20" s="1">
        <f t="shared" si="1"/>
        <v>45.941558441558442</v>
      </c>
      <c r="I20" s="1">
        <v>9.310161367998003E-2</v>
      </c>
      <c r="J20" s="1">
        <v>0.42624231245087774</v>
      </c>
      <c r="K20" s="1">
        <v>435030.80543999991</v>
      </c>
      <c r="L20" s="1">
        <v>1020618.5372319999</v>
      </c>
      <c r="M20">
        <v>1920</v>
      </c>
      <c r="N20" s="6">
        <v>0</v>
      </c>
    </row>
    <row r="21" spans="1:14" x14ac:dyDescent="0.25">
      <c r="A21" s="1">
        <v>142.4</v>
      </c>
      <c r="B21" s="1">
        <v>142.4</v>
      </c>
      <c r="C21" s="1">
        <v>3.05</v>
      </c>
      <c r="D21" s="1">
        <v>420</v>
      </c>
      <c r="E21" s="1">
        <v>255.1</v>
      </c>
      <c r="F21" s="1">
        <v>55.719999999999992</v>
      </c>
      <c r="G21" s="1">
        <f t="shared" si="0"/>
        <v>2.9494382022471908</v>
      </c>
      <c r="H21" s="1">
        <f t="shared" si="1"/>
        <v>46.688524590163937</v>
      </c>
      <c r="I21" s="1">
        <v>9.1511377356388202E-2</v>
      </c>
      <c r="J21" s="1">
        <v>0.41896181557097328</v>
      </c>
      <c r="K21" s="1">
        <v>433687.8569999999</v>
      </c>
      <c r="L21" s="1">
        <v>1035148.8868</v>
      </c>
      <c r="M21">
        <v>2060</v>
      </c>
      <c r="N21" s="6">
        <v>0</v>
      </c>
    </row>
    <row r="22" spans="1:14" x14ac:dyDescent="0.25">
      <c r="A22" s="1">
        <v>141.6</v>
      </c>
      <c r="B22" s="1">
        <v>141.6</v>
      </c>
      <c r="C22" s="1">
        <v>3.04</v>
      </c>
      <c r="D22" s="1">
        <v>420</v>
      </c>
      <c r="E22" s="1">
        <v>255.1</v>
      </c>
      <c r="F22" s="1">
        <v>55.719999999999992</v>
      </c>
      <c r="G22" s="1">
        <f t="shared" si="0"/>
        <v>2.9661016949152543</v>
      </c>
      <c r="H22" s="1">
        <f t="shared" si="1"/>
        <v>46.578947368421048</v>
      </c>
      <c r="I22" s="1">
        <v>9.1741252200627676E-2</v>
      </c>
      <c r="J22" s="1">
        <v>0.42001423970531448</v>
      </c>
      <c r="K22" s="1">
        <v>429815.33696000057</v>
      </c>
      <c r="L22" s="1">
        <v>1023335.1546879996</v>
      </c>
      <c r="M22">
        <v>1960</v>
      </c>
      <c r="N22" s="6">
        <v>0</v>
      </c>
    </row>
    <row r="23" spans="1:14" x14ac:dyDescent="0.25">
      <c r="A23" s="1">
        <v>143.19999999999999</v>
      </c>
      <c r="B23" s="1">
        <v>143.19999999999999</v>
      </c>
      <c r="C23" s="1">
        <v>2.0299999999999998</v>
      </c>
      <c r="D23" s="1">
        <v>420</v>
      </c>
      <c r="E23" s="1">
        <v>305.10000000000002</v>
      </c>
      <c r="F23" s="1">
        <v>55.719999999999992</v>
      </c>
      <c r="G23" s="1">
        <f t="shared" si="0"/>
        <v>2.9329608938547489</v>
      </c>
      <c r="H23" s="1">
        <f t="shared" si="1"/>
        <v>70.541871921182263</v>
      </c>
      <c r="I23" s="1">
        <v>5.920991613011025E-2</v>
      </c>
      <c r="J23" s="1">
        <v>0.32420935770453413</v>
      </c>
      <c r="K23" s="1">
        <v>349736.25204000005</v>
      </c>
      <c r="L23" s="1">
        <v>1078735.8345119997</v>
      </c>
      <c r="M23">
        <v>1990</v>
      </c>
      <c r="N23" s="6">
        <v>0</v>
      </c>
    </row>
    <row r="24" spans="1:14" x14ac:dyDescent="0.25">
      <c r="A24" s="1">
        <v>142.30000000000001</v>
      </c>
      <c r="B24" s="1">
        <v>142.30000000000001</v>
      </c>
      <c r="C24" s="1">
        <v>2.0099999999999998</v>
      </c>
      <c r="D24" s="1">
        <v>420</v>
      </c>
      <c r="E24" s="1">
        <v>305.10000000000002</v>
      </c>
      <c r="F24" s="1">
        <v>55.719999999999992</v>
      </c>
      <c r="G24" s="1">
        <f t="shared" si="0"/>
        <v>2.9515108924806746</v>
      </c>
      <c r="H24" s="1">
        <f t="shared" si="1"/>
        <v>70.796019900497527</v>
      </c>
      <c r="I24" s="1">
        <v>5.8988047627411423E-2</v>
      </c>
      <c r="J24" s="1">
        <v>0.32299449625131421</v>
      </c>
      <c r="K24" s="1">
        <v>344131.93116000108</v>
      </c>
      <c r="L24" s="1">
        <v>1065442.090048</v>
      </c>
      <c r="M24">
        <v>1855</v>
      </c>
      <c r="N24" s="6">
        <v>0</v>
      </c>
    </row>
    <row r="25" spans="1:14" x14ac:dyDescent="0.25">
      <c r="A25" s="1">
        <v>140.5</v>
      </c>
      <c r="B25" s="1">
        <v>140.5</v>
      </c>
      <c r="C25" s="1">
        <v>2</v>
      </c>
      <c r="D25" s="1">
        <v>420</v>
      </c>
      <c r="E25" s="1">
        <v>305.10000000000002</v>
      </c>
      <c r="F25" s="1">
        <v>55.719999999999992</v>
      </c>
      <c r="G25" s="1">
        <f t="shared" si="0"/>
        <v>2.9893238434163703</v>
      </c>
      <c r="H25" s="1">
        <f t="shared" si="1"/>
        <v>70.25</v>
      </c>
      <c r="I25" s="1">
        <v>5.9466784741510015E-2</v>
      </c>
      <c r="J25" s="1">
        <v>0.32561586548159926</v>
      </c>
      <c r="K25" s="1">
        <v>338050.80000000005</v>
      </c>
      <c r="L25" s="1">
        <v>1038188.9699999999</v>
      </c>
      <c r="M25">
        <v>1780</v>
      </c>
      <c r="N25" s="6">
        <v>0</v>
      </c>
    </row>
    <row r="26" spans="1:14" x14ac:dyDescent="0.25">
      <c r="A26" s="1">
        <v>142</v>
      </c>
      <c r="B26" s="1">
        <v>142</v>
      </c>
      <c r="C26" s="1">
        <v>5.1100000000000003</v>
      </c>
      <c r="D26" s="1">
        <v>210</v>
      </c>
      <c r="E26" s="1">
        <v>347.3</v>
      </c>
      <c r="F26" s="1">
        <v>45.919999999999995</v>
      </c>
      <c r="G26" s="1">
        <f t="shared" si="0"/>
        <v>1.4788732394366197</v>
      </c>
      <c r="H26" s="1">
        <f t="shared" si="1"/>
        <v>27.788649706457925</v>
      </c>
      <c r="I26" s="1">
        <v>0.16112154160087025</v>
      </c>
      <c r="J26" s="1">
        <v>1.2185869206877666</v>
      </c>
      <c r="K26" s="1">
        <v>971756.37467999954</v>
      </c>
      <c r="L26" s="1">
        <v>797445.268928</v>
      </c>
      <c r="M26">
        <v>2160</v>
      </c>
      <c r="N26" s="6">
        <v>0</v>
      </c>
    </row>
    <row r="27" spans="1:14" x14ac:dyDescent="0.25">
      <c r="A27" s="1">
        <v>142</v>
      </c>
      <c r="B27" s="1">
        <v>142</v>
      </c>
      <c r="C27" s="1">
        <v>5.08</v>
      </c>
      <c r="D27" s="1">
        <v>210</v>
      </c>
      <c r="E27" s="1">
        <v>347.3</v>
      </c>
      <c r="F27" s="1">
        <v>45.919999999999995</v>
      </c>
      <c r="G27" s="1">
        <f t="shared" si="0"/>
        <v>1.4788732394366197</v>
      </c>
      <c r="H27" s="1">
        <f t="shared" si="1"/>
        <v>27.952755905511811</v>
      </c>
      <c r="I27" s="1">
        <v>0.16006493602130273</v>
      </c>
      <c r="J27" s="1">
        <v>1.2105956507011857</v>
      </c>
      <c r="K27" s="1">
        <v>966263.06112000032</v>
      </c>
      <c r="L27" s="1">
        <v>798171.59475199983</v>
      </c>
      <c r="M27">
        <v>2250</v>
      </c>
      <c r="N27" s="6">
        <v>0</v>
      </c>
    </row>
    <row r="28" spans="1:14" x14ac:dyDescent="0.25">
      <c r="A28" s="1">
        <v>141.4</v>
      </c>
      <c r="B28" s="1">
        <v>141.4</v>
      </c>
      <c r="C28" s="1">
        <v>5.07</v>
      </c>
      <c r="D28" s="1">
        <v>210</v>
      </c>
      <c r="E28" s="1">
        <v>347.3</v>
      </c>
      <c r="F28" s="1">
        <v>45.919999999999995</v>
      </c>
      <c r="G28" s="1">
        <f t="shared" si="0"/>
        <v>1.4851485148514851</v>
      </c>
      <c r="H28" s="1">
        <f t="shared" si="1"/>
        <v>27.889546351084814</v>
      </c>
      <c r="I28" s="1">
        <v>0.16047027080951895</v>
      </c>
      <c r="J28" s="1">
        <v>1.2136612598463836</v>
      </c>
      <c r="K28" s="1">
        <v>960205.45452000189</v>
      </c>
      <c r="L28" s="1">
        <v>791164.29459199985</v>
      </c>
      <c r="M28">
        <v>2280</v>
      </c>
      <c r="N28" s="6">
        <v>0</v>
      </c>
    </row>
    <row r="29" spans="1:14" x14ac:dyDescent="0.25">
      <c r="A29" s="1">
        <v>103.3</v>
      </c>
      <c r="B29" s="1">
        <v>159.1</v>
      </c>
      <c r="C29" s="1">
        <v>4.8</v>
      </c>
      <c r="D29" s="1">
        <f>A29*3</f>
        <v>309.89999999999998</v>
      </c>
      <c r="E29" s="1">
        <v>347.3</v>
      </c>
      <c r="F29" s="1">
        <v>45.919999999999995</v>
      </c>
      <c r="G29" s="1">
        <f t="shared" si="0"/>
        <v>3</v>
      </c>
      <c r="H29" s="1">
        <f t="shared" si="1"/>
        <v>21.520833333333332</v>
      </c>
      <c r="I29" s="1">
        <v>0.17324771650789</v>
      </c>
      <c r="J29" s="1">
        <v>1.3102990405746997</v>
      </c>
      <c r="K29" s="1">
        <v>842855.42399999977</v>
      </c>
      <c r="L29" s="1">
        <v>643254.24799999991</v>
      </c>
      <c r="M29">
        <v>1875</v>
      </c>
      <c r="N29" s="6">
        <v>0</v>
      </c>
    </row>
    <row r="30" spans="1:14" x14ac:dyDescent="0.25">
      <c r="A30" s="1">
        <v>102.4</v>
      </c>
      <c r="B30" s="1">
        <v>156.69999999999999</v>
      </c>
      <c r="C30" s="1">
        <v>4.8</v>
      </c>
      <c r="D30" s="1">
        <f t="shared" ref="D30:D31" si="2">A30*3</f>
        <v>307.20000000000005</v>
      </c>
      <c r="E30" s="1">
        <v>347.3</v>
      </c>
      <c r="F30" s="1">
        <v>45.919999999999995</v>
      </c>
      <c r="G30" s="1">
        <f t="shared" si="0"/>
        <v>3.0000000000000004</v>
      </c>
      <c r="H30" s="1">
        <f t="shared" si="1"/>
        <v>21.333333333333336</v>
      </c>
      <c r="I30" s="1">
        <v>0.17546121568719369</v>
      </c>
      <c r="J30" s="1">
        <v>1.3270400742195638</v>
      </c>
      <c r="K30" s="1">
        <v>831852.95999999961</v>
      </c>
      <c r="L30" s="1">
        <v>626848.40960000001</v>
      </c>
      <c r="M30">
        <v>1915</v>
      </c>
      <c r="N30" s="6">
        <v>0</v>
      </c>
    </row>
    <row r="31" spans="1:14" x14ac:dyDescent="0.25">
      <c r="A31" s="1">
        <v>104.4</v>
      </c>
      <c r="B31" s="1">
        <v>158.80000000000001</v>
      </c>
      <c r="C31" s="1">
        <v>4.8499999999999996</v>
      </c>
      <c r="D31" s="1">
        <f t="shared" si="2"/>
        <v>313.20000000000005</v>
      </c>
      <c r="E31" s="1">
        <v>347.3</v>
      </c>
      <c r="F31" s="1">
        <v>45.919999999999995</v>
      </c>
      <c r="G31" s="1">
        <f t="shared" si="0"/>
        <v>3.0000000000000004</v>
      </c>
      <c r="H31" s="1">
        <f t="shared" si="1"/>
        <v>21.52577319587629</v>
      </c>
      <c r="I31" s="1">
        <v>0.17414943727836915</v>
      </c>
      <c r="J31" s="1">
        <v>1.3171188930047391</v>
      </c>
      <c r="K31" s="1">
        <v>853993.33499999961</v>
      </c>
      <c r="L31" s="1">
        <v>648379.83840000001</v>
      </c>
      <c r="M31">
        <v>1820</v>
      </c>
      <c r="N31" s="6">
        <v>0</v>
      </c>
    </row>
    <row r="32" spans="1:14" x14ac:dyDescent="0.25">
      <c r="A32" s="1">
        <v>136.30000000000001</v>
      </c>
      <c r="B32" s="1">
        <v>176.5</v>
      </c>
      <c r="C32" s="1">
        <v>2.91</v>
      </c>
      <c r="D32" s="1">
        <v>1980</v>
      </c>
      <c r="E32" s="1">
        <v>319.3</v>
      </c>
      <c r="F32" s="1">
        <v>75.254186602870803</v>
      </c>
      <c r="G32" s="1">
        <f t="shared" si="0"/>
        <v>14.526779163609683</v>
      </c>
      <c r="H32" s="1">
        <f t="shared" si="1"/>
        <v>46.838487972508595</v>
      </c>
      <c r="I32" s="1">
        <v>8.0224401201411888E-2</v>
      </c>
      <c r="J32" s="1">
        <v>0.34038838847317537</v>
      </c>
      <c r="K32" s="1">
        <v>570468.91547999857</v>
      </c>
      <c r="L32" s="1">
        <v>1675935.2986124405</v>
      </c>
      <c r="M32">
        <v>2283</v>
      </c>
      <c r="N32" s="6">
        <v>1</v>
      </c>
    </row>
    <row r="33" spans="1:14" x14ac:dyDescent="0.25">
      <c r="A33" s="1">
        <v>124.6</v>
      </c>
      <c r="B33" s="1">
        <v>199.3</v>
      </c>
      <c r="C33" s="1">
        <v>2.91</v>
      </c>
      <c r="D33" s="1">
        <v>921</v>
      </c>
      <c r="E33" s="1">
        <v>319.3</v>
      </c>
      <c r="F33" s="1">
        <v>75.254186602870803</v>
      </c>
      <c r="G33" s="1">
        <f t="shared" si="0"/>
        <v>7.3916532905296952</v>
      </c>
      <c r="H33" s="1">
        <f t="shared" si="1"/>
        <v>42.817869415807557</v>
      </c>
      <c r="I33" s="1">
        <v>8.0552671406769499E-2</v>
      </c>
      <c r="J33" s="1">
        <v>0.34178122362696983</v>
      </c>
      <c r="K33" s="1">
        <v>591096.33407999936</v>
      </c>
      <c r="L33" s="1">
        <v>1729458.1832416267</v>
      </c>
      <c r="M33">
        <v>2614</v>
      </c>
      <c r="N33" s="6">
        <v>1</v>
      </c>
    </row>
    <row r="34" spans="1:14" x14ac:dyDescent="0.25">
      <c r="A34" s="1">
        <v>149.5</v>
      </c>
      <c r="B34" s="1">
        <v>149.5</v>
      </c>
      <c r="C34" s="1">
        <v>2.89</v>
      </c>
      <c r="D34" s="1">
        <v>2200</v>
      </c>
      <c r="E34" s="1">
        <v>319.3</v>
      </c>
      <c r="F34" s="1">
        <v>75.254186602870803</v>
      </c>
      <c r="G34" s="1">
        <f t="shared" si="0"/>
        <v>14.715719063545151</v>
      </c>
      <c r="H34" s="1">
        <f t="shared" si="1"/>
        <v>51.730103806228371</v>
      </c>
      <c r="I34" s="1">
        <v>8.205159179773211E-2</v>
      </c>
      <c r="J34" s="1">
        <v>0.34814107285848228</v>
      </c>
      <c r="K34" s="1">
        <v>541153.34388000029</v>
      </c>
      <c r="L34" s="1">
        <v>1554408.2157177031</v>
      </c>
      <c r="M34">
        <v>2077</v>
      </c>
      <c r="N34" s="6">
        <v>1</v>
      </c>
    </row>
    <row r="35" spans="1:14" x14ac:dyDescent="0.25">
      <c r="A35" s="1">
        <v>125.9</v>
      </c>
      <c r="B35" s="1">
        <v>199.9</v>
      </c>
      <c r="C35" s="1">
        <v>2.9</v>
      </c>
      <c r="D35" s="1">
        <v>1829</v>
      </c>
      <c r="E35" s="1">
        <v>319.3</v>
      </c>
      <c r="F35" s="1">
        <v>75.254186602870803</v>
      </c>
      <c r="G35" s="1">
        <f t="shared" si="0"/>
        <v>14.527402700555996</v>
      </c>
      <c r="H35" s="1">
        <f t="shared" si="1"/>
        <v>43.413793103448278</v>
      </c>
      <c r="I35" s="1">
        <v>7.9617663624808779E-2</v>
      </c>
      <c r="J35" s="1">
        <v>0.33781402926533854</v>
      </c>
      <c r="K35" s="1">
        <v>592620.80000000121</v>
      </c>
      <c r="L35" s="1">
        <v>1754281.1981160284</v>
      </c>
      <c r="M35">
        <v>2303</v>
      </c>
      <c r="N35" s="6">
        <v>1</v>
      </c>
    </row>
    <row r="36" spans="1:14" x14ac:dyDescent="0.25">
      <c r="A36" s="1">
        <v>104</v>
      </c>
      <c r="B36" s="1">
        <v>104</v>
      </c>
      <c r="C36" s="1">
        <v>3</v>
      </c>
      <c r="D36" s="1">
        <v>2800</v>
      </c>
      <c r="E36" s="1">
        <v>269</v>
      </c>
      <c r="F36" s="1">
        <v>49.40191387559809</v>
      </c>
      <c r="G36" s="1">
        <f t="shared" si="0"/>
        <v>26.923076923076923</v>
      </c>
      <c r="H36" s="1">
        <f t="shared" si="1"/>
        <v>34.666666666666664</v>
      </c>
      <c r="I36" s="1">
        <v>0.12619741774260726</v>
      </c>
      <c r="J36" s="1">
        <v>0.68716174556001175</v>
      </c>
      <c r="K36" s="1">
        <v>326028</v>
      </c>
      <c r="L36" s="1">
        <v>474455.98086124408</v>
      </c>
      <c r="M36">
        <v>736</v>
      </c>
      <c r="N36" s="6">
        <v>1</v>
      </c>
    </row>
    <row r="37" spans="1:14" x14ac:dyDescent="0.25">
      <c r="A37" s="1">
        <v>134</v>
      </c>
      <c r="B37" s="1">
        <v>134</v>
      </c>
      <c r="C37" s="1">
        <v>3</v>
      </c>
      <c r="D37" s="1">
        <v>2800</v>
      </c>
      <c r="E37" s="1">
        <v>269</v>
      </c>
      <c r="F37" s="1">
        <v>50.448564593301441</v>
      </c>
      <c r="G37" s="1">
        <f t="shared" si="0"/>
        <v>20.895522388059703</v>
      </c>
      <c r="H37" s="1">
        <f t="shared" si="1"/>
        <v>44.666666666666664</v>
      </c>
      <c r="I37" s="1">
        <v>9.5947265625E-2</v>
      </c>
      <c r="J37" s="1">
        <v>0.51160651767190268</v>
      </c>
      <c r="K37" s="1">
        <v>422868</v>
      </c>
      <c r="L37" s="1">
        <v>826549.28229665081</v>
      </c>
      <c r="M37">
        <v>1090</v>
      </c>
      <c r="N37" s="6">
        <v>1</v>
      </c>
    </row>
    <row r="38" spans="1:14" x14ac:dyDescent="0.25">
      <c r="A38" s="1">
        <v>164</v>
      </c>
      <c r="B38" s="1">
        <v>164</v>
      </c>
      <c r="C38" s="1">
        <v>3</v>
      </c>
      <c r="D38" s="1">
        <v>2800</v>
      </c>
      <c r="E38" s="1">
        <v>269</v>
      </c>
      <c r="F38" s="1">
        <v>51.495215311004777</v>
      </c>
      <c r="G38" s="1">
        <f t="shared" si="0"/>
        <v>17.073170731707318</v>
      </c>
      <c r="H38" s="1">
        <f t="shared" si="1"/>
        <v>54.666666666666664</v>
      </c>
      <c r="I38" s="1">
        <v>7.7391443678897609E-2</v>
      </c>
      <c r="J38" s="1">
        <v>0.40427636284053919</v>
      </c>
      <c r="K38" s="1">
        <v>519708</v>
      </c>
      <c r="L38" s="1">
        <v>1285526.5550239233</v>
      </c>
      <c r="M38">
        <v>1444</v>
      </c>
      <c r="N38" s="6">
        <v>1</v>
      </c>
    </row>
    <row r="39" spans="1:14" x14ac:dyDescent="0.25">
      <c r="A39" s="1">
        <v>200</v>
      </c>
      <c r="B39" s="1">
        <v>200</v>
      </c>
      <c r="C39" s="1">
        <v>5</v>
      </c>
      <c r="D39" s="1">
        <v>600</v>
      </c>
      <c r="E39" s="1">
        <v>227</v>
      </c>
      <c r="F39" s="1">
        <v>29.620215311004781</v>
      </c>
      <c r="G39" s="1">
        <f t="shared" si="0"/>
        <v>3</v>
      </c>
      <c r="H39" s="1">
        <f t="shared" si="1"/>
        <v>40</v>
      </c>
      <c r="I39" s="1">
        <v>0.10803324099722991</v>
      </c>
      <c r="J39" s="1">
        <v>0.8279327293498765</v>
      </c>
      <c r="K39" s="1">
        <v>885300</v>
      </c>
      <c r="L39" s="1">
        <v>1069289.7727272727</v>
      </c>
      <c r="M39">
        <v>2480</v>
      </c>
      <c r="N39" s="6">
        <v>0</v>
      </c>
    </row>
    <row r="40" spans="1:14" x14ac:dyDescent="0.25">
      <c r="A40" s="1">
        <v>100</v>
      </c>
      <c r="B40" s="1">
        <v>100</v>
      </c>
      <c r="C40" s="1">
        <v>3.96</v>
      </c>
      <c r="D40" s="1">
        <v>350</v>
      </c>
      <c r="E40" s="1">
        <v>254.2</v>
      </c>
      <c r="F40" s="1">
        <v>23.6</v>
      </c>
      <c r="G40" s="1">
        <f t="shared" si="0"/>
        <v>3.5</v>
      </c>
      <c r="H40" s="1">
        <f t="shared" si="1"/>
        <v>25.252525252525253</v>
      </c>
      <c r="I40" s="1">
        <v>0.17942241891423699</v>
      </c>
      <c r="J40" s="1">
        <v>1.9325923257626711</v>
      </c>
      <c r="K40" s="1">
        <v>386707.74912000011</v>
      </c>
      <c r="L40" s="1">
        <v>200097.94304000001</v>
      </c>
      <c r="M40">
        <v>651</v>
      </c>
      <c r="N40" s="6">
        <v>0</v>
      </c>
    </row>
    <row r="41" spans="1:14" x14ac:dyDescent="0.25">
      <c r="A41" s="1">
        <v>100</v>
      </c>
      <c r="B41" s="1">
        <v>100</v>
      </c>
      <c r="C41" s="1">
        <v>3.96</v>
      </c>
      <c r="D41" s="1">
        <v>350</v>
      </c>
      <c r="E41" s="1">
        <v>254.2</v>
      </c>
      <c r="F41" s="1">
        <v>23.6</v>
      </c>
      <c r="G41" s="1">
        <f t="shared" si="0"/>
        <v>3.5</v>
      </c>
      <c r="H41" s="1">
        <f t="shared" si="1"/>
        <v>25.252525252525253</v>
      </c>
      <c r="I41" s="1">
        <v>0.17942241891423699</v>
      </c>
      <c r="J41" s="1">
        <v>1.9325923257626711</v>
      </c>
      <c r="K41" s="1">
        <v>386707.74912000011</v>
      </c>
      <c r="L41" s="1">
        <v>200097.94304000001</v>
      </c>
      <c r="M41">
        <v>651</v>
      </c>
      <c r="N41" s="6">
        <v>0</v>
      </c>
    </row>
    <row r="42" spans="1:14" x14ac:dyDescent="0.25">
      <c r="A42" s="1">
        <v>150</v>
      </c>
      <c r="B42" s="1">
        <v>200</v>
      </c>
      <c r="C42" s="1">
        <v>3.96</v>
      </c>
      <c r="D42" s="1">
        <v>520</v>
      </c>
      <c r="E42" s="1">
        <v>254.2</v>
      </c>
      <c r="F42" s="1">
        <v>23.6</v>
      </c>
      <c r="G42" s="1">
        <f t="shared" si="0"/>
        <v>3.4666666666666668</v>
      </c>
      <c r="H42" s="1">
        <f t="shared" si="1"/>
        <v>37.878787878787882</v>
      </c>
      <c r="I42" s="1">
        <v>9.9274513997545943E-2</v>
      </c>
      <c r="J42" s="1">
        <v>1.0693042990752617</v>
      </c>
      <c r="K42" s="1">
        <v>688697.34911999921</v>
      </c>
      <c r="L42" s="1">
        <v>644061.14304000011</v>
      </c>
      <c r="M42">
        <v>1450</v>
      </c>
      <c r="N42" s="6">
        <v>0</v>
      </c>
    </row>
    <row r="43" spans="1:14" x14ac:dyDescent="0.25">
      <c r="A43" s="1">
        <v>150</v>
      </c>
      <c r="B43" s="1">
        <v>200</v>
      </c>
      <c r="C43" s="1">
        <v>3.96</v>
      </c>
      <c r="D43" s="1">
        <v>520</v>
      </c>
      <c r="E43" s="1">
        <v>254.2</v>
      </c>
      <c r="F43" s="1">
        <v>23.6</v>
      </c>
      <c r="G43" s="1">
        <f t="shared" si="0"/>
        <v>3.4666666666666668</v>
      </c>
      <c r="H43" s="1">
        <f t="shared" si="1"/>
        <v>37.878787878787882</v>
      </c>
      <c r="I43" s="1">
        <v>9.9274513997545943E-2</v>
      </c>
      <c r="J43" s="1">
        <v>1.0693042990752617</v>
      </c>
      <c r="K43" s="1">
        <v>688697.34911999921</v>
      </c>
      <c r="L43" s="1">
        <v>644061.14304000011</v>
      </c>
      <c r="M43">
        <v>1450</v>
      </c>
      <c r="N43" s="6">
        <v>0</v>
      </c>
    </row>
    <row r="44" spans="1:14" x14ac:dyDescent="0.25">
      <c r="A44" s="1">
        <v>200</v>
      </c>
      <c r="B44" s="1">
        <v>200</v>
      </c>
      <c r="C44" s="1">
        <v>3.96</v>
      </c>
      <c r="D44" s="1">
        <v>690</v>
      </c>
      <c r="E44" s="1">
        <v>254.2</v>
      </c>
      <c r="F44" s="1">
        <v>23.6</v>
      </c>
      <c r="G44" s="1">
        <f t="shared" si="0"/>
        <v>3.45</v>
      </c>
      <c r="H44" s="1">
        <f t="shared" si="1"/>
        <v>50.505050505050505</v>
      </c>
      <c r="I44" s="1">
        <v>8.4165784733939444E-2</v>
      </c>
      <c r="J44" s="1">
        <v>0.90656535929522897</v>
      </c>
      <c r="K44" s="1">
        <v>789360.54911999824</v>
      </c>
      <c r="L44" s="1">
        <v>870715.54304000025</v>
      </c>
      <c r="M44">
        <v>1724</v>
      </c>
      <c r="N44" s="6">
        <v>0</v>
      </c>
    </row>
    <row r="45" spans="1:14" x14ac:dyDescent="0.25">
      <c r="A45" s="1">
        <v>200</v>
      </c>
      <c r="B45" s="1">
        <v>200</v>
      </c>
      <c r="C45" s="1">
        <v>3.96</v>
      </c>
      <c r="D45" s="1">
        <v>690</v>
      </c>
      <c r="E45" s="1">
        <v>254.2</v>
      </c>
      <c r="F45" s="1">
        <v>23.6</v>
      </c>
      <c r="G45" s="1">
        <f t="shared" si="0"/>
        <v>3.45</v>
      </c>
      <c r="H45" s="1">
        <f t="shared" si="1"/>
        <v>50.505050505050505</v>
      </c>
      <c r="I45" s="1">
        <v>8.4165784733939444E-2</v>
      </c>
      <c r="J45" s="1">
        <v>0.90656535929522897</v>
      </c>
      <c r="K45" s="1">
        <v>789360.54911999824</v>
      </c>
      <c r="L45" s="1">
        <v>870715.54304000025</v>
      </c>
      <c r="M45">
        <v>1724</v>
      </c>
      <c r="N45" s="6">
        <v>0</v>
      </c>
    </row>
    <row r="46" spans="1:14" x14ac:dyDescent="0.25">
      <c r="A46" s="1">
        <v>200</v>
      </c>
      <c r="B46" s="1">
        <v>300</v>
      </c>
      <c r="C46" s="1">
        <v>4.9400000000000004</v>
      </c>
      <c r="D46" s="1">
        <v>690</v>
      </c>
      <c r="E46" s="1">
        <v>245.8</v>
      </c>
      <c r="F46" s="1">
        <v>23.6</v>
      </c>
      <c r="G46" s="1">
        <f t="shared" si="0"/>
        <v>3.45</v>
      </c>
      <c r="H46" s="1">
        <f t="shared" si="1"/>
        <v>40.48582995951417</v>
      </c>
      <c r="I46" s="1">
        <v>8.7791788181470043E-2</v>
      </c>
      <c r="J46" s="1">
        <v>0.91437379385615825</v>
      </c>
      <c r="K46" s="1">
        <v>1190258.3804800005</v>
      </c>
      <c r="L46" s="1">
        <v>1301719.6998400001</v>
      </c>
      <c r="M46">
        <v>2579</v>
      </c>
      <c r="N46" s="6">
        <v>0</v>
      </c>
    </row>
    <row r="47" spans="1:14" x14ac:dyDescent="0.25">
      <c r="A47" s="1">
        <v>200</v>
      </c>
      <c r="B47" s="1">
        <v>300</v>
      </c>
      <c r="C47" s="1">
        <v>4.9400000000000004</v>
      </c>
      <c r="D47" s="1">
        <v>690</v>
      </c>
      <c r="E47" s="1">
        <v>245.8</v>
      </c>
      <c r="F47" s="1">
        <v>23.6</v>
      </c>
      <c r="G47" s="1">
        <f t="shared" si="0"/>
        <v>3.45</v>
      </c>
      <c r="H47" s="1">
        <f t="shared" si="1"/>
        <v>40.48582995951417</v>
      </c>
      <c r="I47" s="1">
        <v>8.7791788181470043E-2</v>
      </c>
      <c r="J47" s="1">
        <v>0.91437379385615825</v>
      </c>
      <c r="K47" s="1">
        <v>1190258.3804800005</v>
      </c>
      <c r="L47" s="1">
        <v>1301719.6998400001</v>
      </c>
      <c r="M47">
        <v>2579</v>
      </c>
      <c r="N47" s="6">
        <v>0</v>
      </c>
    </row>
    <row r="48" spans="1:14" x14ac:dyDescent="0.25">
      <c r="A48" s="1">
        <v>150</v>
      </c>
      <c r="B48" s="1">
        <v>150</v>
      </c>
      <c r="C48" s="1">
        <v>3</v>
      </c>
      <c r="D48" s="1">
        <v>600</v>
      </c>
      <c r="E48" s="1">
        <v>395.7</v>
      </c>
      <c r="F48" s="1">
        <v>23.59</v>
      </c>
      <c r="G48" s="1">
        <f t="shared" si="0"/>
        <v>4</v>
      </c>
      <c r="H48" s="1">
        <f t="shared" si="1"/>
        <v>50</v>
      </c>
      <c r="I48" s="1">
        <v>8.5069444444444448E-2</v>
      </c>
      <c r="J48" s="1">
        <v>1.4269596933728981</v>
      </c>
      <c r="K48" s="1">
        <v>698014.79999999993</v>
      </c>
      <c r="L48" s="1">
        <v>489162.23999999999</v>
      </c>
      <c r="M48">
        <v>1413</v>
      </c>
      <c r="N48" s="6">
        <v>0</v>
      </c>
    </row>
    <row r="49" spans="1:14" x14ac:dyDescent="0.25">
      <c r="A49" s="1">
        <v>180</v>
      </c>
      <c r="B49" s="1">
        <v>150</v>
      </c>
      <c r="C49" s="1">
        <v>3</v>
      </c>
      <c r="D49" s="1">
        <v>600</v>
      </c>
      <c r="E49" s="1">
        <v>395.7</v>
      </c>
      <c r="F49" s="1">
        <v>23.59</v>
      </c>
      <c r="G49" s="1">
        <f t="shared" si="0"/>
        <v>3.3333333333333335</v>
      </c>
      <c r="H49" s="1">
        <f t="shared" si="1"/>
        <v>60</v>
      </c>
      <c r="I49" s="1">
        <v>7.7586206896551727E-2</v>
      </c>
      <c r="J49" s="1">
        <v>1.3014354416687373</v>
      </c>
      <c r="K49" s="1">
        <v>769240.79999999993</v>
      </c>
      <c r="L49" s="1">
        <v>591071.04</v>
      </c>
      <c r="M49">
        <v>1601</v>
      </c>
      <c r="N49" s="6">
        <v>0</v>
      </c>
    </row>
    <row r="50" spans="1:14" x14ac:dyDescent="0.25">
      <c r="A50" s="1">
        <v>225</v>
      </c>
      <c r="B50" s="1">
        <v>150</v>
      </c>
      <c r="C50" s="1">
        <v>3</v>
      </c>
      <c r="D50" s="1">
        <v>600</v>
      </c>
      <c r="E50" s="1">
        <v>395.7</v>
      </c>
      <c r="F50" s="1">
        <v>23.59</v>
      </c>
      <c r="G50" s="1">
        <f t="shared" si="0"/>
        <v>2.6666666666666665</v>
      </c>
      <c r="H50" s="1">
        <f t="shared" si="1"/>
        <v>75</v>
      </c>
      <c r="I50" s="1">
        <v>7.0205479452054798E-2</v>
      </c>
      <c r="J50" s="1">
        <v>1.177630700261894</v>
      </c>
      <c r="K50" s="1">
        <v>876079.79999999993</v>
      </c>
      <c r="L50" s="1">
        <v>743934.24</v>
      </c>
      <c r="M50">
        <v>1864</v>
      </c>
      <c r="N50" s="6">
        <v>0</v>
      </c>
    </row>
    <row r="51" spans="1:14" x14ac:dyDescent="0.25">
      <c r="A51" s="1">
        <v>300</v>
      </c>
      <c r="B51" s="1">
        <v>150</v>
      </c>
      <c r="C51" s="1">
        <v>3</v>
      </c>
      <c r="D51" s="1">
        <v>600</v>
      </c>
      <c r="E51" s="1">
        <v>395.7</v>
      </c>
      <c r="F51" s="1">
        <v>23.59</v>
      </c>
      <c r="G51" s="1">
        <f t="shared" si="0"/>
        <v>2</v>
      </c>
      <c r="H51" s="1">
        <f t="shared" si="1"/>
        <v>100</v>
      </c>
      <c r="I51" s="1">
        <v>6.2925170068027211E-2</v>
      </c>
      <c r="J51" s="1">
        <v>1.0555103771054841</v>
      </c>
      <c r="K51" s="1">
        <v>1054144.8</v>
      </c>
      <c r="L51" s="1">
        <v>998706.24</v>
      </c>
      <c r="M51">
        <v>2357</v>
      </c>
      <c r="N51" s="6">
        <v>0</v>
      </c>
    </row>
    <row r="52" spans="1:14" x14ac:dyDescent="0.25">
      <c r="A52" s="1">
        <v>150</v>
      </c>
      <c r="B52" s="1">
        <v>150</v>
      </c>
      <c r="C52" s="1">
        <v>3</v>
      </c>
      <c r="D52" s="1">
        <v>600</v>
      </c>
      <c r="E52" s="1">
        <v>395.7</v>
      </c>
      <c r="F52" s="1">
        <v>29.54</v>
      </c>
      <c r="G52" s="1">
        <f t="shared" si="0"/>
        <v>4</v>
      </c>
      <c r="H52" s="1">
        <f t="shared" si="1"/>
        <v>50</v>
      </c>
      <c r="I52" s="1">
        <v>8.5069444444444448E-2</v>
      </c>
      <c r="J52" s="1">
        <v>1.1395389020537126</v>
      </c>
      <c r="K52" s="1">
        <v>698014.79999999993</v>
      </c>
      <c r="L52" s="1">
        <v>612541.43999999994</v>
      </c>
      <c r="M52">
        <v>1476</v>
      </c>
      <c r="N52" s="6">
        <v>0</v>
      </c>
    </row>
    <row r="53" spans="1:14" x14ac:dyDescent="0.25">
      <c r="A53" s="1">
        <v>180</v>
      </c>
      <c r="B53" s="1">
        <v>150</v>
      </c>
      <c r="C53" s="1">
        <v>3</v>
      </c>
      <c r="D53" s="1">
        <v>600</v>
      </c>
      <c r="E53" s="1">
        <v>395.7</v>
      </c>
      <c r="F53" s="1">
        <v>29.54</v>
      </c>
      <c r="G53" s="1">
        <f t="shared" si="0"/>
        <v>3.3333333333333335</v>
      </c>
      <c r="H53" s="1">
        <f t="shared" si="1"/>
        <v>60</v>
      </c>
      <c r="I53" s="1">
        <v>7.7586206896551727E-2</v>
      </c>
      <c r="J53" s="1">
        <v>1.0392979711904371</v>
      </c>
      <c r="K53" s="1">
        <v>769240.79999999993</v>
      </c>
      <c r="L53" s="1">
        <v>740154.24</v>
      </c>
      <c r="M53">
        <v>1688</v>
      </c>
      <c r="N53" s="6">
        <v>0</v>
      </c>
    </row>
    <row r="54" spans="1:14" x14ac:dyDescent="0.25">
      <c r="A54" s="1">
        <v>225</v>
      </c>
      <c r="B54" s="1">
        <v>150</v>
      </c>
      <c r="C54" s="1">
        <v>3</v>
      </c>
      <c r="D54" s="1">
        <v>600</v>
      </c>
      <c r="E54" s="1">
        <v>395.7</v>
      </c>
      <c r="F54" s="1">
        <v>29.54</v>
      </c>
      <c r="G54" s="1">
        <f t="shared" si="0"/>
        <v>2.6666666666666665</v>
      </c>
      <c r="H54" s="1">
        <f t="shared" si="1"/>
        <v>75</v>
      </c>
      <c r="I54" s="1">
        <v>7.0205479452054798E-2</v>
      </c>
      <c r="J54" s="1">
        <v>0.94043020376364528</v>
      </c>
      <c r="K54" s="1">
        <v>876079.79999999993</v>
      </c>
      <c r="L54" s="1">
        <v>931573.44</v>
      </c>
      <c r="M54">
        <v>1880</v>
      </c>
      <c r="N54" s="6">
        <v>0</v>
      </c>
    </row>
    <row r="55" spans="1:14" x14ac:dyDescent="0.25">
      <c r="A55" s="1">
        <v>300</v>
      </c>
      <c r="B55" s="1">
        <v>150</v>
      </c>
      <c r="C55" s="1">
        <v>3</v>
      </c>
      <c r="D55" s="1">
        <v>600</v>
      </c>
      <c r="E55" s="1">
        <v>395.7</v>
      </c>
      <c r="F55" s="1">
        <v>29.54</v>
      </c>
      <c r="G55" s="1">
        <f t="shared" si="0"/>
        <v>2</v>
      </c>
      <c r="H55" s="1">
        <f t="shared" si="1"/>
        <v>100</v>
      </c>
      <c r="I55" s="1">
        <v>6.2925170068027211E-2</v>
      </c>
      <c r="J55" s="1">
        <v>0.84290757602973487</v>
      </c>
      <c r="K55" s="1">
        <v>1054144.8</v>
      </c>
      <c r="L55" s="1">
        <v>1250605.44</v>
      </c>
      <c r="M55">
        <v>2429</v>
      </c>
      <c r="N55" s="6">
        <v>0</v>
      </c>
    </row>
    <row r="56" spans="1:14" x14ac:dyDescent="0.25">
      <c r="A56" s="1">
        <v>150</v>
      </c>
      <c r="B56" s="1">
        <v>150</v>
      </c>
      <c r="C56" s="1">
        <v>3</v>
      </c>
      <c r="D56" s="1">
        <v>600</v>
      </c>
      <c r="E56" s="1">
        <v>395.7</v>
      </c>
      <c r="F56" s="1">
        <v>36.119999999999997</v>
      </c>
      <c r="G56" s="1">
        <f t="shared" si="0"/>
        <v>4</v>
      </c>
      <c r="H56" s="1">
        <f t="shared" si="1"/>
        <v>50</v>
      </c>
      <c r="I56" s="1">
        <v>8.5069444444444448E-2</v>
      </c>
      <c r="J56" s="1">
        <v>0.93194848191214463</v>
      </c>
      <c r="K56" s="1">
        <v>698014.79999999993</v>
      </c>
      <c r="L56" s="1">
        <v>748984.31999999995</v>
      </c>
      <c r="M56">
        <v>1633</v>
      </c>
      <c r="N56" s="6">
        <v>0</v>
      </c>
    </row>
    <row r="57" spans="1:14" x14ac:dyDescent="0.25">
      <c r="A57" s="1">
        <v>180</v>
      </c>
      <c r="B57" s="1">
        <v>150</v>
      </c>
      <c r="C57" s="1">
        <v>3</v>
      </c>
      <c r="D57" s="1">
        <v>600</v>
      </c>
      <c r="E57" s="1">
        <v>395.7</v>
      </c>
      <c r="F57" s="1">
        <v>36.119999999999997</v>
      </c>
      <c r="G57" s="1">
        <f t="shared" si="0"/>
        <v>3.3333333333333335</v>
      </c>
      <c r="H57" s="1">
        <f t="shared" si="1"/>
        <v>60</v>
      </c>
      <c r="I57" s="1">
        <v>7.7586206896551727E-2</v>
      </c>
      <c r="J57" s="1">
        <v>0.84996849581853584</v>
      </c>
      <c r="K57" s="1">
        <v>769240.79999999993</v>
      </c>
      <c r="L57" s="1">
        <v>905022.72</v>
      </c>
      <c r="M57">
        <v>1849</v>
      </c>
      <c r="N57" s="6">
        <v>0</v>
      </c>
    </row>
    <row r="58" spans="1:14" x14ac:dyDescent="0.25">
      <c r="A58" s="1">
        <v>225</v>
      </c>
      <c r="B58" s="1">
        <v>150</v>
      </c>
      <c r="C58" s="1">
        <v>3</v>
      </c>
      <c r="D58" s="1">
        <v>600</v>
      </c>
      <c r="E58" s="1">
        <v>395.7</v>
      </c>
      <c r="F58" s="1">
        <v>36.119999999999997</v>
      </c>
      <c r="G58" s="1">
        <f t="shared" si="0"/>
        <v>2.6666666666666665</v>
      </c>
      <c r="H58" s="1">
        <f t="shared" si="1"/>
        <v>75</v>
      </c>
      <c r="I58" s="1">
        <v>7.0205479452054798E-2</v>
      </c>
      <c r="J58" s="1">
        <v>0.76911152323305876</v>
      </c>
      <c r="K58" s="1">
        <v>876079.79999999993</v>
      </c>
      <c r="L58" s="1">
        <v>1139080.3199999998</v>
      </c>
      <c r="M58">
        <v>2184</v>
      </c>
      <c r="N58" s="6">
        <v>0</v>
      </c>
    </row>
    <row r="59" spans="1:14" x14ac:dyDescent="0.25">
      <c r="A59" s="1">
        <v>300</v>
      </c>
      <c r="B59" s="1">
        <v>150</v>
      </c>
      <c r="C59" s="1">
        <v>3</v>
      </c>
      <c r="D59" s="1">
        <v>600</v>
      </c>
      <c r="E59" s="1">
        <v>395.7</v>
      </c>
      <c r="F59" s="1">
        <v>36.119999999999997</v>
      </c>
      <c r="G59" s="1">
        <f t="shared" si="0"/>
        <v>2</v>
      </c>
      <c r="H59" s="1">
        <f t="shared" si="1"/>
        <v>100</v>
      </c>
      <c r="I59" s="1">
        <v>6.2925170068027211E-2</v>
      </c>
      <c r="J59" s="1">
        <v>0.68935464551269021</v>
      </c>
      <c r="K59" s="1">
        <v>1054144.8</v>
      </c>
      <c r="L59" s="1">
        <v>1529176.3199999998</v>
      </c>
      <c r="M59">
        <v>2627</v>
      </c>
      <c r="N59" s="6">
        <v>0</v>
      </c>
    </row>
    <row r="60" spans="1:14" x14ac:dyDescent="0.25">
      <c r="A60" s="1">
        <v>150</v>
      </c>
      <c r="B60" s="1">
        <v>150</v>
      </c>
      <c r="C60" s="1">
        <v>3</v>
      </c>
      <c r="D60" s="1">
        <v>600</v>
      </c>
      <c r="E60" s="1">
        <v>395.7</v>
      </c>
      <c r="F60" s="1">
        <v>42.14</v>
      </c>
      <c r="G60" s="1">
        <f t="shared" si="0"/>
        <v>4</v>
      </c>
      <c r="H60" s="1">
        <f t="shared" si="1"/>
        <v>50</v>
      </c>
      <c r="I60" s="1">
        <v>8.5069444444444448E-2</v>
      </c>
      <c r="J60" s="1">
        <v>0.79881298449612392</v>
      </c>
      <c r="K60" s="1">
        <v>698014.79999999993</v>
      </c>
      <c r="L60" s="1">
        <v>873815.04000000004</v>
      </c>
      <c r="M60">
        <v>1675</v>
      </c>
      <c r="N60" s="6">
        <v>0</v>
      </c>
    </row>
    <row r="61" spans="1:14" x14ac:dyDescent="0.25">
      <c r="A61" s="1">
        <v>180</v>
      </c>
      <c r="B61" s="1">
        <v>150</v>
      </c>
      <c r="C61" s="1">
        <v>3</v>
      </c>
      <c r="D61" s="1">
        <v>600</v>
      </c>
      <c r="E61" s="1">
        <v>395.7</v>
      </c>
      <c r="F61" s="1">
        <v>42.14</v>
      </c>
      <c r="G61" s="1">
        <f t="shared" si="0"/>
        <v>3.3333333333333335</v>
      </c>
      <c r="H61" s="1">
        <f t="shared" si="1"/>
        <v>60</v>
      </c>
      <c r="I61" s="1">
        <v>7.7586206896551727E-2</v>
      </c>
      <c r="J61" s="1">
        <v>0.72854442498731642</v>
      </c>
      <c r="K61" s="1">
        <v>769240.79999999993</v>
      </c>
      <c r="L61" s="1">
        <v>1055859.8400000001</v>
      </c>
      <c r="M61">
        <v>1918</v>
      </c>
      <c r="N61" s="6">
        <v>0</v>
      </c>
    </row>
    <row r="62" spans="1:14" x14ac:dyDescent="0.25">
      <c r="A62" s="1">
        <v>225</v>
      </c>
      <c r="B62" s="1">
        <v>150</v>
      </c>
      <c r="C62" s="1">
        <v>3</v>
      </c>
      <c r="D62" s="1">
        <v>600</v>
      </c>
      <c r="E62" s="1">
        <v>395.7</v>
      </c>
      <c r="F62" s="1">
        <v>42.14</v>
      </c>
      <c r="G62" s="1">
        <f t="shared" si="0"/>
        <v>2.6666666666666665</v>
      </c>
      <c r="H62" s="1">
        <f t="shared" si="1"/>
        <v>75</v>
      </c>
      <c r="I62" s="1">
        <v>7.0205479452054798E-2</v>
      </c>
      <c r="J62" s="1">
        <v>0.65923844848547886</v>
      </c>
      <c r="K62" s="1">
        <v>876079.79999999993</v>
      </c>
      <c r="L62" s="1">
        <v>1328927.04</v>
      </c>
      <c r="M62">
        <v>2269</v>
      </c>
      <c r="N62" s="6">
        <v>0</v>
      </c>
    </row>
    <row r="63" spans="1:14" x14ac:dyDescent="0.25">
      <c r="A63" s="1">
        <v>300</v>
      </c>
      <c r="B63" s="1">
        <v>150</v>
      </c>
      <c r="C63" s="1">
        <v>3</v>
      </c>
      <c r="D63" s="1">
        <v>600</v>
      </c>
      <c r="E63" s="1">
        <v>395.7</v>
      </c>
      <c r="F63" s="1">
        <v>42.14</v>
      </c>
      <c r="G63" s="1">
        <f t="shared" si="0"/>
        <v>2</v>
      </c>
      <c r="H63" s="1">
        <f t="shared" si="1"/>
        <v>100</v>
      </c>
      <c r="I63" s="1">
        <v>6.2925170068027211E-2</v>
      </c>
      <c r="J63" s="1">
        <v>0.59087541043944869</v>
      </c>
      <c r="K63" s="1">
        <v>1054144.8</v>
      </c>
      <c r="L63" s="1">
        <v>1784039.04</v>
      </c>
      <c r="M63">
        <v>2944</v>
      </c>
      <c r="N63" s="6">
        <v>0</v>
      </c>
    </row>
    <row r="64" spans="1:14" x14ac:dyDescent="0.25">
      <c r="A64" s="1">
        <v>105</v>
      </c>
      <c r="B64" s="1">
        <v>140</v>
      </c>
      <c r="C64" s="1">
        <v>2.86</v>
      </c>
      <c r="D64" s="1">
        <v>420</v>
      </c>
      <c r="E64" s="1">
        <v>227.7</v>
      </c>
      <c r="F64" s="1">
        <v>41.51</v>
      </c>
      <c r="G64" s="1">
        <f t="shared" si="0"/>
        <v>4</v>
      </c>
      <c r="H64" s="1">
        <f t="shared" si="1"/>
        <v>36.713286713286713</v>
      </c>
      <c r="I64" s="1">
        <v>0.10266663498187845</v>
      </c>
      <c r="J64" s="1">
        <v>0.56317014660018605</v>
      </c>
      <c r="K64" s="1">
        <v>311648.80031999998</v>
      </c>
      <c r="L64" s="1">
        <v>553383.02678399999</v>
      </c>
      <c r="M64">
        <v>1044</v>
      </c>
      <c r="N64" s="6">
        <v>0</v>
      </c>
    </row>
    <row r="65" spans="1:14" x14ac:dyDescent="0.25">
      <c r="A65" s="1">
        <v>105</v>
      </c>
      <c r="B65" s="1">
        <v>140</v>
      </c>
      <c r="C65" s="1">
        <v>2.86</v>
      </c>
      <c r="D65" s="1">
        <v>420</v>
      </c>
      <c r="E65" s="1">
        <v>227.7</v>
      </c>
      <c r="F65" s="1">
        <v>41.51</v>
      </c>
      <c r="G65" s="1">
        <f t="shared" si="0"/>
        <v>4</v>
      </c>
      <c r="H65" s="1">
        <f t="shared" si="1"/>
        <v>36.713286713286713</v>
      </c>
      <c r="I65" s="1">
        <v>0.10266663498187845</v>
      </c>
      <c r="J65" s="1">
        <v>0.56317014660018605</v>
      </c>
      <c r="K65" s="1">
        <v>311648.80031999998</v>
      </c>
      <c r="L65" s="1">
        <v>553383.02678399999</v>
      </c>
      <c r="M65">
        <v>1086</v>
      </c>
      <c r="N65" s="6">
        <v>0</v>
      </c>
    </row>
    <row r="66" spans="1:14" x14ac:dyDescent="0.25">
      <c r="A66" s="1">
        <v>105</v>
      </c>
      <c r="B66" s="1">
        <v>140</v>
      </c>
      <c r="C66" s="1">
        <v>2.86</v>
      </c>
      <c r="D66" s="1">
        <v>420</v>
      </c>
      <c r="E66" s="1">
        <v>227.7</v>
      </c>
      <c r="F66" s="1">
        <v>41.51</v>
      </c>
      <c r="G66" s="1">
        <f t="shared" ref="G66:G129" si="3">D66/A66</f>
        <v>4</v>
      </c>
      <c r="H66" s="1">
        <f t="shared" ref="H66:H129" si="4">A66/C66</f>
        <v>36.713286713286713</v>
      </c>
      <c r="I66" s="1">
        <v>0.10266663498187845</v>
      </c>
      <c r="J66" s="1">
        <v>0.56317014660018605</v>
      </c>
      <c r="K66" s="1">
        <v>311648.80031999998</v>
      </c>
      <c r="L66" s="1">
        <v>553383.02678399999</v>
      </c>
      <c r="M66">
        <v>900</v>
      </c>
      <c r="N66" s="6">
        <v>0</v>
      </c>
    </row>
    <row r="67" spans="1:14" x14ac:dyDescent="0.25">
      <c r="A67" s="1">
        <v>105</v>
      </c>
      <c r="B67" s="1">
        <v>140</v>
      </c>
      <c r="C67" s="1">
        <v>2.86</v>
      </c>
      <c r="D67" s="1">
        <v>420</v>
      </c>
      <c r="E67" s="1">
        <v>227.7</v>
      </c>
      <c r="F67" s="1">
        <v>41.51</v>
      </c>
      <c r="G67" s="1">
        <f t="shared" si="3"/>
        <v>4</v>
      </c>
      <c r="H67" s="1">
        <f t="shared" si="4"/>
        <v>36.713286713286713</v>
      </c>
      <c r="I67" s="1">
        <v>0.10266663498187845</v>
      </c>
      <c r="J67" s="1">
        <v>0.56317014660018605</v>
      </c>
      <c r="K67" s="1">
        <v>311648.80031999998</v>
      </c>
      <c r="L67" s="1">
        <v>553383.02678399999</v>
      </c>
      <c r="M67">
        <v>920</v>
      </c>
      <c r="N67" s="6">
        <v>0</v>
      </c>
    </row>
    <row r="68" spans="1:14" x14ac:dyDescent="0.25">
      <c r="A68" s="1">
        <v>90</v>
      </c>
      <c r="B68" s="1">
        <v>120</v>
      </c>
      <c r="C68" s="1">
        <v>2.86</v>
      </c>
      <c r="D68" s="1">
        <v>360</v>
      </c>
      <c r="E68" s="1">
        <v>227.7</v>
      </c>
      <c r="F68" s="1">
        <v>41.51</v>
      </c>
      <c r="G68" s="1">
        <f t="shared" si="3"/>
        <v>4</v>
      </c>
      <c r="H68" s="1">
        <f t="shared" si="4"/>
        <v>31.46853146853147</v>
      </c>
      <c r="I68" s="1">
        <v>0.1213185243979806</v>
      </c>
      <c r="J68" s="1">
        <v>0.66548369080752057</v>
      </c>
      <c r="K68" s="1">
        <v>266063.26031999977</v>
      </c>
      <c r="L68" s="1">
        <v>399804.32878400001</v>
      </c>
      <c r="M68">
        <v>800</v>
      </c>
      <c r="N68" s="6">
        <v>0</v>
      </c>
    </row>
    <row r="69" spans="1:14" x14ac:dyDescent="0.25">
      <c r="A69" s="1">
        <v>90</v>
      </c>
      <c r="B69" s="1">
        <v>120</v>
      </c>
      <c r="C69" s="1">
        <v>2.86</v>
      </c>
      <c r="D69" s="1">
        <v>360</v>
      </c>
      <c r="E69" s="1">
        <v>227.7</v>
      </c>
      <c r="F69" s="1">
        <v>41.51</v>
      </c>
      <c r="G69" s="1">
        <f t="shared" si="3"/>
        <v>4</v>
      </c>
      <c r="H69" s="1">
        <f t="shared" si="4"/>
        <v>31.46853146853147</v>
      </c>
      <c r="I69" s="1">
        <v>0.1213185243979806</v>
      </c>
      <c r="J69" s="1">
        <v>0.66548369080752057</v>
      </c>
      <c r="K69" s="1">
        <v>266063.26031999977</v>
      </c>
      <c r="L69" s="1">
        <v>399804.32878400001</v>
      </c>
      <c r="M69">
        <v>760</v>
      </c>
      <c r="N69" s="6">
        <v>0</v>
      </c>
    </row>
    <row r="70" spans="1:14" x14ac:dyDescent="0.25">
      <c r="A70" s="1">
        <v>90</v>
      </c>
      <c r="B70" s="1">
        <v>120</v>
      </c>
      <c r="C70" s="1">
        <v>2.86</v>
      </c>
      <c r="D70" s="1">
        <v>360</v>
      </c>
      <c r="E70" s="1">
        <v>227.7</v>
      </c>
      <c r="F70" s="1">
        <v>41.51</v>
      </c>
      <c r="G70" s="1">
        <f t="shared" si="3"/>
        <v>4</v>
      </c>
      <c r="H70" s="1">
        <f t="shared" si="4"/>
        <v>31.46853146853147</v>
      </c>
      <c r="I70" s="1">
        <v>0.1213185243979806</v>
      </c>
      <c r="J70" s="1">
        <v>0.66548369080752057</v>
      </c>
      <c r="K70" s="1">
        <v>266063.26031999977</v>
      </c>
      <c r="L70" s="1">
        <v>399804.32878400001</v>
      </c>
      <c r="M70">
        <v>620</v>
      </c>
      <c r="N70" s="6">
        <v>0</v>
      </c>
    </row>
    <row r="71" spans="1:14" x14ac:dyDescent="0.25">
      <c r="A71" s="1">
        <v>90</v>
      </c>
      <c r="B71" s="1">
        <v>120</v>
      </c>
      <c r="C71" s="1">
        <v>2.86</v>
      </c>
      <c r="D71" s="1">
        <v>360</v>
      </c>
      <c r="E71" s="1">
        <v>227.7</v>
      </c>
      <c r="F71" s="1">
        <v>41.51</v>
      </c>
      <c r="G71" s="1">
        <f t="shared" si="3"/>
        <v>4</v>
      </c>
      <c r="H71" s="1">
        <f t="shared" si="4"/>
        <v>31.46853146853147</v>
      </c>
      <c r="I71" s="1">
        <v>0.1213185243979806</v>
      </c>
      <c r="J71" s="1">
        <v>0.66548369080752057</v>
      </c>
      <c r="K71" s="1">
        <v>266063.26031999977</v>
      </c>
      <c r="L71" s="1">
        <v>399804.32878400001</v>
      </c>
      <c r="M71">
        <v>520</v>
      </c>
      <c r="N71" s="6">
        <v>0</v>
      </c>
    </row>
    <row r="72" spans="1:14" x14ac:dyDescent="0.25">
      <c r="A72" s="1">
        <v>100</v>
      </c>
      <c r="B72" s="1">
        <v>100</v>
      </c>
      <c r="C72" s="1">
        <v>2.86</v>
      </c>
      <c r="D72" s="1">
        <v>300</v>
      </c>
      <c r="E72" s="1">
        <v>228</v>
      </c>
      <c r="F72" s="1">
        <v>41.51</v>
      </c>
      <c r="G72" s="1">
        <f t="shared" si="3"/>
        <v>3</v>
      </c>
      <c r="H72" s="1">
        <f t="shared" si="4"/>
        <v>34.965034965034967</v>
      </c>
      <c r="I72" s="1">
        <v>0.12502157791386442</v>
      </c>
      <c r="J72" s="1">
        <v>0.68670006659506355</v>
      </c>
      <c r="K72" s="1">
        <v>253372.20480000007</v>
      </c>
      <c r="L72" s="1">
        <v>368970.70078399999</v>
      </c>
      <c r="M72">
        <v>760</v>
      </c>
      <c r="N72" s="6">
        <v>0</v>
      </c>
    </row>
    <row r="73" spans="1:14" x14ac:dyDescent="0.25">
      <c r="A73" s="1">
        <v>100</v>
      </c>
      <c r="B73" s="1">
        <v>100</v>
      </c>
      <c r="C73" s="1">
        <v>2.86</v>
      </c>
      <c r="D73" s="1">
        <v>300</v>
      </c>
      <c r="E73" s="1">
        <v>228</v>
      </c>
      <c r="F73" s="1">
        <v>41.51</v>
      </c>
      <c r="G73" s="1">
        <f t="shared" si="3"/>
        <v>3</v>
      </c>
      <c r="H73" s="1">
        <f t="shared" si="4"/>
        <v>34.965034965034967</v>
      </c>
      <c r="I73" s="1">
        <v>0.12502157791386442</v>
      </c>
      <c r="J73" s="1">
        <v>0.68670006659506355</v>
      </c>
      <c r="K73" s="1">
        <v>253372.20480000007</v>
      </c>
      <c r="L73" s="1">
        <v>368970.70078399999</v>
      </c>
      <c r="M73">
        <v>800</v>
      </c>
      <c r="N73" s="6">
        <v>0</v>
      </c>
    </row>
    <row r="74" spans="1:14" x14ac:dyDescent="0.25">
      <c r="A74" s="1">
        <v>120</v>
      </c>
      <c r="B74" s="1">
        <v>120</v>
      </c>
      <c r="C74" s="1">
        <v>2.86</v>
      </c>
      <c r="D74" s="1">
        <v>360</v>
      </c>
      <c r="E74" s="1">
        <v>228</v>
      </c>
      <c r="F74" s="1">
        <v>41.51</v>
      </c>
      <c r="G74" s="1">
        <f t="shared" si="3"/>
        <v>3</v>
      </c>
      <c r="H74" s="1">
        <f t="shared" si="4"/>
        <v>41.95804195804196</v>
      </c>
      <c r="I74" s="1">
        <v>0.10261025826930124</v>
      </c>
      <c r="J74" s="1">
        <v>0.56360247856903611</v>
      </c>
      <c r="K74" s="1">
        <v>305538.60479999991</v>
      </c>
      <c r="L74" s="1">
        <v>542117.21278399997</v>
      </c>
      <c r="M74">
        <v>992</v>
      </c>
      <c r="N74" s="6">
        <v>0</v>
      </c>
    </row>
    <row r="75" spans="1:14" x14ac:dyDescent="0.25">
      <c r="A75" s="1">
        <v>120</v>
      </c>
      <c r="B75" s="1">
        <v>120</v>
      </c>
      <c r="C75" s="1">
        <v>2.86</v>
      </c>
      <c r="D75" s="1">
        <v>360</v>
      </c>
      <c r="E75" s="1">
        <v>228</v>
      </c>
      <c r="F75" s="1">
        <v>41.51</v>
      </c>
      <c r="G75" s="1">
        <f t="shared" si="3"/>
        <v>3</v>
      </c>
      <c r="H75" s="1">
        <f t="shared" si="4"/>
        <v>41.95804195804196</v>
      </c>
      <c r="I75" s="1">
        <v>0.10261025826930124</v>
      </c>
      <c r="J75" s="1">
        <v>0.56360247856903611</v>
      </c>
      <c r="K75" s="1">
        <v>305538.60479999991</v>
      </c>
      <c r="L75" s="1">
        <v>542117.21278399997</v>
      </c>
      <c r="M75">
        <v>1050</v>
      </c>
      <c r="N75" s="6">
        <v>0</v>
      </c>
    </row>
    <row r="76" spans="1:14" x14ac:dyDescent="0.25">
      <c r="A76" s="1">
        <v>110</v>
      </c>
      <c r="B76" s="1">
        <v>110</v>
      </c>
      <c r="C76" s="1">
        <v>2.86</v>
      </c>
      <c r="D76" s="1">
        <v>330</v>
      </c>
      <c r="E76" s="1">
        <v>228</v>
      </c>
      <c r="F76" s="1">
        <v>41.51</v>
      </c>
      <c r="G76" s="1">
        <f t="shared" si="3"/>
        <v>3</v>
      </c>
      <c r="H76" s="1">
        <f t="shared" si="4"/>
        <v>38.46153846153846</v>
      </c>
      <c r="I76" s="1">
        <v>0.11271341843365557</v>
      </c>
      <c r="J76" s="1">
        <v>0.61909562521978967</v>
      </c>
      <c r="K76" s="1">
        <v>279455.40479999996</v>
      </c>
      <c r="L76" s="1">
        <v>451392.95678399998</v>
      </c>
      <c r="M76">
        <v>844</v>
      </c>
      <c r="N76" s="6">
        <v>0</v>
      </c>
    </row>
    <row r="77" spans="1:14" x14ac:dyDescent="0.25">
      <c r="A77" s="1">
        <v>110</v>
      </c>
      <c r="B77" s="1">
        <v>110</v>
      </c>
      <c r="C77" s="1">
        <v>2.86</v>
      </c>
      <c r="D77" s="1">
        <v>330</v>
      </c>
      <c r="E77" s="1">
        <v>228</v>
      </c>
      <c r="F77" s="1">
        <v>41.51</v>
      </c>
      <c r="G77" s="1">
        <f t="shared" si="3"/>
        <v>3</v>
      </c>
      <c r="H77" s="1">
        <f t="shared" si="4"/>
        <v>38.46153846153846</v>
      </c>
      <c r="I77" s="1">
        <v>0.11271341843365557</v>
      </c>
      <c r="J77" s="1">
        <v>0.61909562521978967</v>
      </c>
      <c r="K77" s="1">
        <v>279455.40479999996</v>
      </c>
      <c r="L77" s="1">
        <v>451392.95678399998</v>
      </c>
      <c r="M77">
        <v>860</v>
      </c>
      <c r="N77" s="6">
        <v>0</v>
      </c>
    </row>
    <row r="78" spans="1:14" x14ac:dyDescent="0.25">
      <c r="A78" s="1">
        <v>135</v>
      </c>
      <c r="B78" s="1">
        <v>150</v>
      </c>
      <c r="C78" s="1">
        <v>2.86</v>
      </c>
      <c r="D78" s="1">
        <v>450</v>
      </c>
      <c r="E78" s="1">
        <v>228</v>
      </c>
      <c r="F78" s="1">
        <v>41.51</v>
      </c>
      <c r="G78" s="1">
        <f t="shared" si="3"/>
        <v>3.3333333333333335</v>
      </c>
      <c r="H78" s="1">
        <f t="shared" si="4"/>
        <v>47.202797202797207</v>
      </c>
      <c r="I78" s="1">
        <v>8.5644284902568396E-2</v>
      </c>
      <c r="J78" s="1">
        <v>0.47041428469731617</v>
      </c>
      <c r="K78" s="1">
        <v>364225.80479999981</v>
      </c>
      <c r="L78" s="1">
        <v>774266.03878399997</v>
      </c>
      <c r="M78">
        <v>1420</v>
      </c>
      <c r="N78" s="6">
        <v>0</v>
      </c>
    </row>
    <row r="79" spans="1:14" x14ac:dyDescent="0.25">
      <c r="A79" s="1">
        <v>135</v>
      </c>
      <c r="B79" s="1">
        <v>150</v>
      </c>
      <c r="C79" s="1">
        <v>2.86</v>
      </c>
      <c r="D79" s="1">
        <v>450</v>
      </c>
      <c r="E79" s="1">
        <v>228</v>
      </c>
      <c r="F79" s="1">
        <v>41.51</v>
      </c>
      <c r="G79" s="1">
        <f t="shared" si="3"/>
        <v>3.3333333333333335</v>
      </c>
      <c r="H79" s="1">
        <f t="shared" si="4"/>
        <v>47.202797202797207</v>
      </c>
      <c r="I79" s="1">
        <v>8.5644284902568396E-2</v>
      </c>
      <c r="J79" s="1">
        <v>0.47041428469731617</v>
      </c>
      <c r="K79" s="1">
        <v>364225.80479999981</v>
      </c>
      <c r="L79" s="1">
        <v>774266.03878399997</v>
      </c>
      <c r="M79">
        <v>1340</v>
      </c>
      <c r="N79" s="6">
        <v>0</v>
      </c>
    </row>
    <row r="80" spans="1:14" x14ac:dyDescent="0.25">
      <c r="A80" s="1">
        <v>70</v>
      </c>
      <c r="B80" s="1">
        <v>90</v>
      </c>
      <c r="C80" s="1">
        <v>2.86</v>
      </c>
      <c r="D80" s="1">
        <v>270</v>
      </c>
      <c r="E80" s="1">
        <v>228</v>
      </c>
      <c r="F80" s="1">
        <v>41.51</v>
      </c>
      <c r="G80" s="1">
        <f t="shared" si="3"/>
        <v>3.8571428571428572</v>
      </c>
      <c r="H80" s="1">
        <f t="shared" si="4"/>
        <v>24.475524475524477</v>
      </c>
      <c r="I80" s="1">
        <v>0.16289406603584403</v>
      </c>
      <c r="J80" s="1">
        <v>0.89472047834672219</v>
      </c>
      <c r="K80" s="1">
        <v>201205.80480000001</v>
      </c>
      <c r="L80" s="1">
        <v>224881.188784</v>
      </c>
      <c r="M80">
        <v>554</v>
      </c>
      <c r="N80" s="6">
        <v>0</v>
      </c>
    </row>
    <row r="81" spans="1:14" x14ac:dyDescent="0.25">
      <c r="A81" s="1">
        <v>70</v>
      </c>
      <c r="B81" s="1">
        <v>90</v>
      </c>
      <c r="C81" s="1">
        <v>2.86</v>
      </c>
      <c r="D81" s="1">
        <v>270</v>
      </c>
      <c r="E81" s="1">
        <v>228</v>
      </c>
      <c r="F81" s="1">
        <v>41.51</v>
      </c>
      <c r="G81" s="1">
        <f t="shared" si="3"/>
        <v>3.8571428571428572</v>
      </c>
      <c r="H81" s="1">
        <f t="shared" si="4"/>
        <v>24.475524475524477</v>
      </c>
      <c r="I81" s="1">
        <v>0.16289406603584403</v>
      </c>
      <c r="J81" s="1">
        <v>0.89472047834672219</v>
      </c>
      <c r="K81" s="1">
        <v>201205.80480000001</v>
      </c>
      <c r="L81" s="1">
        <v>224881.188784</v>
      </c>
      <c r="M81">
        <v>576</v>
      </c>
      <c r="N81" s="6">
        <v>0</v>
      </c>
    </row>
    <row r="82" spans="1:14" x14ac:dyDescent="0.25">
      <c r="A82" s="1">
        <v>75</v>
      </c>
      <c r="B82" s="1">
        <v>100</v>
      </c>
      <c r="C82" s="1">
        <v>2.86</v>
      </c>
      <c r="D82" s="1">
        <v>300</v>
      </c>
      <c r="E82" s="1">
        <v>228</v>
      </c>
      <c r="F82" s="1">
        <v>41.51</v>
      </c>
      <c r="G82" s="1">
        <f t="shared" si="3"/>
        <v>4</v>
      </c>
      <c r="H82" s="1">
        <f t="shared" si="4"/>
        <v>26.223776223776223</v>
      </c>
      <c r="I82" s="1">
        <v>0.1482430105988648</v>
      </c>
      <c r="J82" s="1">
        <v>0.81424732393498378</v>
      </c>
      <c r="K82" s="1">
        <v>220768.20480000007</v>
      </c>
      <c r="L82" s="1">
        <v>271131.63078399998</v>
      </c>
      <c r="M82">
        <v>640</v>
      </c>
      <c r="N82" s="6">
        <v>0</v>
      </c>
    </row>
    <row r="83" spans="1:14" x14ac:dyDescent="0.25">
      <c r="A83" s="1">
        <v>75</v>
      </c>
      <c r="B83" s="1">
        <v>100</v>
      </c>
      <c r="C83" s="1">
        <v>2.86</v>
      </c>
      <c r="D83" s="1">
        <v>300</v>
      </c>
      <c r="E83" s="1">
        <v>228</v>
      </c>
      <c r="F83" s="1">
        <v>41.51</v>
      </c>
      <c r="G83" s="1">
        <f t="shared" si="3"/>
        <v>4</v>
      </c>
      <c r="H83" s="1">
        <f t="shared" si="4"/>
        <v>26.223776223776223</v>
      </c>
      <c r="I83" s="1">
        <v>0.1482430105988648</v>
      </c>
      <c r="J83" s="1">
        <v>0.81424732393498378</v>
      </c>
      <c r="K83" s="1">
        <v>220768.20480000007</v>
      </c>
      <c r="L83" s="1">
        <v>271131.63078399998</v>
      </c>
      <c r="M83">
        <v>672</v>
      </c>
      <c r="N83" s="6">
        <v>0</v>
      </c>
    </row>
    <row r="84" spans="1:14" x14ac:dyDescent="0.25">
      <c r="A84" s="1">
        <v>90</v>
      </c>
      <c r="B84" s="1">
        <v>120</v>
      </c>
      <c r="C84" s="1">
        <v>2.86</v>
      </c>
      <c r="D84" s="1">
        <v>360</v>
      </c>
      <c r="E84" s="1">
        <v>228</v>
      </c>
      <c r="F84" s="1">
        <v>41.51</v>
      </c>
      <c r="G84" s="1">
        <f t="shared" si="3"/>
        <v>4</v>
      </c>
      <c r="H84" s="1">
        <f t="shared" si="4"/>
        <v>31.46853146853147</v>
      </c>
      <c r="I84" s="1">
        <v>0.1213185243979806</v>
      </c>
      <c r="J84" s="1">
        <v>0.66636048091398647</v>
      </c>
      <c r="K84" s="1">
        <v>266413.80479999981</v>
      </c>
      <c r="L84" s="1">
        <v>399804.32878400001</v>
      </c>
      <c r="M84">
        <v>800</v>
      </c>
      <c r="N84" s="6">
        <v>0</v>
      </c>
    </row>
    <row r="85" spans="1:14" x14ac:dyDescent="0.25">
      <c r="A85" s="1">
        <v>90</v>
      </c>
      <c r="B85" s="1">
        <v>120</v>
      </c>
      <c r="C85" s="1">
        <v>2.86</v>
      </c>
      <c r="D85" s="1">
        <v>360</v>
      </c>
      <c r="E85" s="1">
        <v>228</v>
      </c>
      <c r="F85" s="1">
        <v>41.51</v>
      </c>
      <c r="G85" s="1">
        <f t="shared" si="3"/>
        <v>4</v>
      </c>
      <c r="H85" s="1">
        <f t="shared" si="4"/>
        <v>31.46853146853147</v>
      </c>
      <c r="I85" s="1">
        <v>0.1213185243979806</v>
      </c>
      <c r="J85" s="1">
        <v>0.66636048091398647</v>
      </c>
      <c r="K85" s="1">
        <v>266413.80479999981</v>
      </c>
      <c r="L85" s="1">
        <v>399804.32878400001</v>
      </c>
      <c r="M85">
        <v>760</v>
      </c>
      <c r="N85" s="6">
        <v>0</v>
      </c>
    </row>
    <row r="86" spans="1:14" x14ac:dyDescent="0.25">
      <c r="A86" s="1">
        <v>105</v>
      </c>
      <c r="B86" s="1">
        <v>140</v>
      </c>
      <c r="C86" s="1">
        <v>2.86</v>
      </c>
      <c r="D86" s="1">
        <v>420</v>
      </c>
      <c r="E86" s="1">
        <v>228</v>
      </c>
      <c r="F86" s="1">
        <v>41.51</v>
      </c>
      <c r="G86" s="1">
        <f t="shared" si="3"/>
        <v>4</v>
      </c>
      <c r="H86" s="1">
        <f t="shared" si="4"/>
        <v>36.713286713286713</v>
      </c>
      <c r="I86" s="1">
        <v>0.10266663498187845</v>
      </c>
      <c r="J86" s="1">
        <v>0.56391213625315073</v>
      </c>
      <c r="K86" s="1">
        <v>312059.40479999996</v>
      </c>
      <c r="L86" s="1">
        <v>553383.02678399999</v>
      </c>
      <c r="M86">
        <v>1044</v>
      </c>
      <c r="N86" s="6">
        <v>0</v>
      </c>
    </row>
    <row r="87" spans="1:14" x14ac:dyDescent="0.25">
      <c r="A87" s="1">
        <v>105</v>
      </c>
      <c r="B87" s="1">
        <v>140</v>
      </c>
      <c r="C87" s="1">
        <v>2.86</v>
      </c>
      <c r="D87" s="1">
        <v>420</v>
      </c>
      <c r="E87" s="1">
        <v>228</v>
      </c>
      <c r="F87" s="1">
        <v>41.51</v>
      </c>
      <c r="G87" s="1">
        <f t="shared" si="3"/>
        <v>4</v>
      </c>
      <c r="H87" s="1">
        <f t="shared" si="4"/>
        <v>36.713286713286713</v>
      </c>
      <c r="I87" s="1">
        <v>0.10266663498187845</v>
      </c>
      <c r="J87" s="1">
        <v>0.56391213625315073</v>
      </c>
      <c r="K87" s="1">
        <v>312059.40479999996</v>
      </c>
      <c r="L87" s="1">
        <v>553383.02678399999</v>
      </c>
      <c r="M87">
        <v>1086</v>
      </c>
      <c r="N87" s="6">
        <v>0</v>
      </c>
    </row>
    <row r="88" spans="1:14" x14ac:dyDescent="0.25">
      <c r="A88" s="1">
        <v>115</v>
      </c>
      <c r="B88" s="1">
        <v>150</v>
      </c>
      <c r="C88" s="1">
        <v>2.86</v>
      </c>
      <c r="D88" s="1">
        <v>450</v>
      </c>
      <c r="E88" s="1">
        <v>228</v>
      </c>
      <c r="F88" s="1">
        <v>41.51</v>
      </c>
      <c r="G88" s="1">
        <f t="shared" si="3"/>
        <v>3.9130434782608696</v>
      </c>
      <c r="H88" s="1">
        <f t="shared" si="4"/>
        <v>40.209790209790214</v>
      </c>
      <c r="I88" s="1">
        <v>9.4062870268929621E-2</v>
      </c>
      <c r="J88" s="1">
        <v>0.51665464758650825</v>
      </c>
      <c r="K88" s="1">
        <v>338142.60479999991</v>
      </c>
      <c r="L88" s="1">
        <v>654484.78278400004</v>
      </c>
      <c r="M88">
        <v>1251</v>
      </c>
      <c r="N88" s="6">
        <v>0</v>
      </c>
    </row>
    <row r="89" spans="1:14" x14ac:dyDescent="0.25">
      <c r="A89" s="1">
        <v>115</v>
      </c>
      <c r="B89" s="1">
        <v>150</v>
      </c>
      <c r="C89" s="1">
        <v>2.86</v>
      </c>
      <c r="D89" s="1">
        <v>450</v>
      </c>
      <c r="E89" s="1">
        <v>228</v>
      </c>
      <c r="F89" s="1">
        <v>41.51</v>
      </c>
      <c r="G89" s="1">
        <f t="shared" si="3"/>
        <v>3.9130434782608696</v>
      </c>
      <c r="H89" s="1">
        <f t="shared" si="4"/>
        <v>40.209790209790214</v>
      </c>
      <c r="I89" s="1">
        <v>9.4062870268929621E-2</v>
      </c>
      <c r="J89" s="1">
        <v>0.51665464758650825</v>
      </c>
      <c r="K89" s="1">
        <v>338142.60479999991</v>
      </c>
      <c r="L89" s="1">
        <v>654484.78278400004</v>
      </c>
      <c r="M89">
        <v>1218</v>
      </c>
      <c r="N89" s="6">
        <v>0</v>
      </c>
    </row>
    <row r="90" spans="1:14" x14ac:dyDescent="0.25">
      <c r="A90" s="1">
        <v>120</v>
      </c>
      <c r="B90" s="1">
        <v>160</v>
      </c>
      <c r="C90" s="1">
        <v>7.6</v>
      </c>
      <c r="D90" s="1">
        <v>480</v>
      </c>
      <c r="E90" s="1">
        <v>194</v>
      </c>
      <c r="F90" s="1">
        <v>41.51</v>
      </c>
      <c r="G90" s="1">
        <f t="shared" si="3"/>
        <v>4</v>
      </c>
      <c r="H90" s="1">
        <f t="shared" si="4"/>
        <v>15.789473684210527</v>
      </c>
      <c r="I90" s="1">
        <v>0.26523554468390192</v>
      </c>
      <c r="J90" s="1">
        <v>1.2395975829601775</v>
      </c>
      <c r="K90" s="1">
        <v>780842.23999999987</v>
      </c>
      <c r="L90" s="1">
        <v>629915.91040000005</v>
      </c>
      <c r="M90">
        <v>1820</v>
      </c>
      <c r="N90" s="6">
        <v>0</v>
      </c>
    </row>
    <row r="91" spans="1:14" x14ac:dyDescent="0.25">
      <c r="A91" s="1">
        <v>120</v>
      </c>
      <c r="B91" s="1">
        <v>160</v>
      </c>
      <c r="C91" s="1">
        <v>7.6</v>
      </c>
      <c r="D91" s="1">
        <v>480</v>
      </c>
      <c r="E91" s="1">
        <v>194</v>
      </c>
      <c r="F91" s="1">
        <v>41.51</v>
      </c>
      <c r="G91" s="1">
        <f t="shared" si="3"/>
        <v>4</v>
      </c>
      <c r="H91" s="1">
        <f t="shared" si="4"/>
        <v>15.789473684210527</v>
      </c>
      <c r="I91" s="1">
        <v>0.26523554468390192</v>
      </c>
      <c r="J91" s="1">
        <v>1.2395975829601775</v>
      </c>
      <c r="K91" s="1">
        <v>780842.23999999987</v>
      </c>
      <c r="L91" s="1">
        <v>629915.91040000005</v>
      </c>
      <c r="M91">
        <v>1770</v>
      </c>
      <c r="N91" s="6">
        <v>0</v>
      </c>
    </row>
    <row r="92" spans="1:14" x14ac:dyDescent="0.25">
      <c r="A92" s="1">
        <v>85</v>
      </c>
      <c r="B92" s="1">
        <v>130</v>
      </c>
      <c r="C92" s="1">
        <v>2.86</v>
      </c>
      <c r="D92" s="1">
        <v>390</v>
      </c>
      <c r="E92" s="1">
        <v>228</v>
      </c>
      <c r="F92" s="1">
        <v>41.51</v>
      </c>
      <c r="G92" s="1">
        <f t="shared" si="3"/>
        <v>4.5882352941176467</v>
      </c>
      <c r="H92" s="1">
        <f t="shared" si="4"/>
        <v>29.72027972027972</v>
      </c>
      <c r="I92" s="1">
        <v>0.12149512980844331</v>
      </c>
      <c r="J92" s="1">
        <v>0.66733051304083535</v>
      </c>
      <c r="K92" s="1">
        <v>272934.60479999991</v>
      </c>
      <c r="L92" s="1">
        <v>408994.64278400003</v>
      </c>
      <c r="M92">
        <v>760</v>
      </c>
      <c r="N92" s="6">
        <v>0</v>
      </c>
    </row>
    <row r="93" spans="1:14" x14ac:dyDescent="0.25">
      <c r="A93" s="1">
        <v>85</v>
      </c>
      <c r="B93" s="1">
        <v>130</v>
      </c>
      <c r="C93" s="1">
        <v>2.86</v>
      </c>
      <c r="D93" s="1">
        <v>390</v>
      </c>
      <c r="E93" s="1">
        <v>228</v>
      </c>
      <c r="F93" s="1">
        <v>41.51</v>
      </c>
      <c r="G93" s="1">
        <f t="shared" si="3"/>
        <v>4.5882352941176467</v>
      </c>
      <c r="H93" s="1">
        <f t="shared" si="4"/>
        <v>29.72027972027972</v>
      </c>
      <c r="I93" s="1">
        <v>0.12149512980844331</v>
      </c>
      <c r="J93" s="1">
        <v>0.66733051304083535</v>
      </c>
      <c r="K93" s="1">
        <v>272934.60479999991</v>
      </c>
      <c r="L93" s="1">
        <v>408994.64278400003</v>
      </c>
      <c r="M93">
        <v>820</v>
      </c>
      <c r="N93" s="6">
        <v>0</v>
      </c>
    </row>
    <row r="94" spans="1:14" x14ac:dyDescent="0.25">
      <c r="A94" s="1">
        <v>80</v>
      </c>
      <c r="B94" s="1">
        <v>140</v>
      </c>
      <c r="C94" s="1">
        <v>2.86</v>
      </c>
      <c r="D94" s="1">
        <v>420</v>
      </c>
      <c r="E94" s="1">
        <v>228</v>
      </c>
      <c r="F94" s="1">
        <v>41.51</v>
      </c>
      <c r="G94" s="1">
        <f t="shared" si="3"/>
        <v>5.25</v>
      </c>
      <c r="H94" s="1">
        <f t="shared" si="4"/>
        <v>27.972027972027973</v>
      </c>
      <c r="I94" s="1">
        <v>0.12288374511886445</v>
      </c>
      <c r="J94" s="1">
        <v>0.67495769422069607</v>
      </c>
      <c r="K94" s="1">
        <v>279455.40479999996</v>
      </c>
      <c r="L94" s="1">
        <v>414033.95678399998</v>
      </c>
      <c r="M94">
        <v>880</v>
      </c>
      <c r="N94" s="6">
        <v>0</v>
      </c>
    </row>
    <row r="95" spans="1:14" x14ac:dyDescent="0.25">
      <c r="A95" s="1">
        <v>80</v>
      </c>
      <c r="B95" s="1">
        <v>140</v>
      </c>
      <c r="C95" s="1">
        <v>2.86</v>
      </c>
      <c r="D95" s="1">
        <v>420</v>
      </c>
      <c r="E95" s="1">
        <v>228</v>
      </c>
      <c r="F95" s="1">
        <v>41.51</v>
      </c>
      <c r="G95" s="1">
        <f t="shared" si="3"/>
        <v>5.25</v>
      </c>
      <c r="H95" s="1">
        <f t="shared" si="4"/>
        <v>27.972027972027973</v>
      </c>
      <c r="I95" s="1">
        <v>0.12288374511886445</v>
      </c>
      <c r="J95" s="1">
        <v>0.67495769422069607</v>
      </c>
      <c r="K95" s="1">
        <v>279455.40479999996</v>
      </c>
      <c r="L95" s="1">
        <v>414033.95678399998</v>
      </c>
      <c r="M95">
        <v>740</v>
      </c>
      <c r="N95" s="6">
        <v>0</v>
      </c>
    </row>
    <row r="96" spans="1:14" x14ac:dyDescent="0.25">
      <c r="A96" s="1">
        <v>200</v>
      </c>
      <c r="B96" s="1">
        <v>200</v>
      </c>
      <c r="C96" s="1">
        <v>5</v>
      </c>
      <c r="D96" s="1">
        <v>600</v>
      </c>
      <c r="E96" s="1">
        <v>265.8</v>
      </c>
      <c r="F96" s="1">
        <v>23.756249999999998</v>
      </c>
      <c r="G96" s="1">
        <f t="shared" si="3"/>
        <v>3</v>
      </c>
      <c r="H96" s="1">
        <f t="shared" si="4"/>
        <v>40</v>
      </c>
      <c r="I96" s="1">
        <v>0.10803324099722991</v>
      </c>
      <c r="J96" s="1">
        <v>1.2087444549145474</v>
      </c>
      <c r="K96" s="1">
        <v>1036620</v>
      </c>
      <c r="L96" s="1">
        <v>857600.62499999988</v>
      </c>
      <c r="M96">
        <v>2312</v>
      </c>
      <c r="N96" s="6">
        <v>0</v>
      </c>
    </row>
    <row r="97" spans="1:14" x14ac:dyDescent="0.25">
      <c r="A97" s="1">
        <v>280</v>
      </c>
      <c r="B97" s="1">
        <v>280</v>
      </c>
      <c r="C97" s="1">
        <v>4</v>
      </c>
      <c r="D97" s="1">
        <v>840</v>
      </c>
      <c r="E97" s="1">
        <v>272.60000000000002</v>
      </c>
      <c r="F97" s="1">
        <v>27.256249999999994</v>
      </c>
      <c r="G97" s="1">
        <f t="shared" si="3"/>
        <v>3</v>
      </c>
      <c r="H97" s="1">
        <f t="shared" si="4"/>
        <v>70</v>
      </c>
      <c r="I97" s="1">
        <v>5.9688581314878891E-2</v>
      </c>
      <c r="J97" s="1">
        <v>0.59696793456311814</v>
      </c>
      <c r="K97" s="1">
        <v>1203801.6000000001</v>
      </c>
      <c r="L97" s="1">
        <v>2016526.3999999997</v>
      </c>
      <c r="M97">
        <v>3401</v>
      </c>
      <c r="N97" s="6">
        <v>0</v>
      </c>
    </row>
    <row r="98" spans="1:14" x14ac:dyDescent="0.25">
      <c r="A98" s="1">
        <v>300</v>
      </c>
      <c r="B98" s="1">
        <v>300</v>
      </c>
      <c r="C98" s="1">
        <v>2</v>
      </c>
      <c r="D98" s="1">
        <v>900</v>
      </c>
      <c r="E98" s="1">
        <v>341.7</v>
      </c>
      <c r="F98" s="1">
        <v>23.826249999999998</v>
      </c>
      <c r="G98" s="1">
        <f t="shared" si="3"/>
        <v>3</v>
      </c>
      <c r="H98" s="1">
        <f t="shared" si="4"/>
        <v>150</v>
      </c>
      <c r="I98" s="1">
        <v>2.7209642074506938E-2</v>
      </c>
      <c r="J98" s="1">
        <v>0.39022232608400487</v>
      </c>
      <c r="K98" s="1">
        <v>814612.79999999993</v>
      </c>
      <c r="L98" s="1">
        <v>2087560.7199999997</v>
      </c>
      <c r="M98">
        <v>3062</v>
      </c>
      <c r="N98" s="6">
        <v>0</v>
      </c>
    </row>
    <row r="99" spans="1:14" x14ac:dyDescent="0.25">
      <c r="A99" s="1">
        <v>120</v>
      </c>
      <c r="B99" s="1">
        <v>120</v>
      </c>
      <c r="C99" s="1">
        <v>2.93</v>
      </c>
      <c r="D99" s="1">
        <v>360</v>
      </c>
      <c r="E99" s="1">
        <v>293.8</v>
      </c>
      <c r="F99" s="1">
        <v>31.08</v>
      </c>
      <c r="G99" s="1">
        <f t="shared" si="3"/>
        <v>3</v>
      </c>
      <c r="H99" s="1">
        <f t="shared" si="4"/>
        <v>40.955631399317404</v>
      </c>
      <c r="I99" s="1">
        <v>0.10531676090976046</v>
      </c>
      <c r="J99" s="1">
        <v>0.99556191619329548</v>
      </c>
      <c r="K99" s="1">
        <v>403111.34552000009</v>
      </c>
      <c r="L99" s="1">
        <v>404908.36276799999</v>
      </c>
      <c r="M99">
        <v>836</v>
      </c>
      <c r="N99" s="6">
        <v>0</v>
      </c>
    </row>
    <row r="100" spans="1:14" x14ac:dyDescent="0.25">
      <c r="A100" s="1">
        <v>120</v>
      </c>
      <c r="B100" s="1">
        <v>120</v>
      </c>
      <c r="C100" s="1">
        <v>2.93</v>
      </c>
      <c r="D100" s="1">
        <v>360</v>
      </c>
      <c r="E100" s="1">
        <v>293.8</v>
      </c>
      <c r="F100" s="1">
        <v>31.08</v>
      </c>
      <c r="G100" s="1">
        <f t="shared" si="3"/>
        <v>3</v>
      </c>
      <c r="H100" s="1">
        <f t="shared" si="4"/>
        <v>40.955631399317404</v>
      </c>
      <c r="I100" s="1">
        <v>0.10531676090976046</v>
      </c>
      <c r="J100" s="1">
        <v>0.99556191619329548</v>
      </c>
      <c r="K100" s="1">
        <v>403111.34552000009</v>
      </c>
      <c r="L100" s="1">
        <v>404908.36276799999</v>
      </c>
      <c r="M100">
        <v>868</v>
      </c>
      <c r="N100" s="6">
        <v>0</v>
      </c>
    </row>
    <row r="101" spans="1:14" x14ac:dyDescent="0.25">
      <c r="A101" s="1">
        <v>120</v>
      </c>
      <c r="B101" s="1">
        <v>120</v>
      </c>
      <c r="C101" s="1">
        <v>2.93</v>
      </c>
      <c r="D101" s="1">
        <v>360</v>
      </c>
      <c r="E101" s="1">
        <v>293.8</v>
      </c>
      <c r="F101" s="1">
        <v>31.08</v>
      </c>
      <c r="G101" s="1">
        <f t="shared" si="3"/>
        <v>3</v>
      </c>
      <c r="H101" s="1">
        <f t="shared" si="4"/>
        <v>40.955631399317404</v>
      </c>
      <c r="I101" s="1">
        <v>0.10531676090976046</v>
      </c>
      <c r="J101" s="1">
        <v>0.99556191619329548</v>
      </c>
      <c r="K101" s="1">
        <v>403111.34552000009</v>
      </c>
      <c r="L101" s="1">
        <v>404908.36276799999</v>
      </c>
      <c r="M101">
        <v>800</v>
      </c>
      <c r="N101" s="6">
        <v>0</v>
      </c>
    </row>
    <row r="102" spans="1:14" x14ac:dyDescent="0.25">
      <c r="A102" s="1">
        <v>120</v>
      </c>
      <c r="B102" s="1">
        <v>120</v>
      </c>
      <c r="C102" s="1">
        <v>2.93</v>
      </c>
      <c r="D102" s="1">
        <v>360</v>
      </c>
      <c r="E102" s="1">
        <v>293.8</v>
      </c>
      <c r="F102" s="1">
        <v>31.08</v>
      </c>
      <c r="G102" s="1">
        <f t="shared" si="3"/>
        <v>3</v>
      </c>
      <c r="H102" s="1">
        <f t="shared" si="4"/>
        <v>40.955631399317404</v>
      </c>
      <c r="I102" s="1">
        <v>0.10531676090976046</v>
      </c>
      <c r="J102" s="1">
        <v>0.99556191619329548</v>
      </c>
      <c r="K102" s="1">
        <v>403111.34552000009</v>
      </c>
      <c r="L102" s="1">
        <v>404908.36276799999</v>
      </c>
      <c r="M102">
        <v>732</v>
      </c>
      <c r="N102" s="6">
        <v>0</v>
      </c>
    </row>
    <row r="103" spans="1:14" x14ac:dyDescent="0.25">
      <c r="A103" s="1">
        <v>100</v>
      </c>
      <c r="B103" s="1">
        <v>100</v>
      </c>
      <c r="C103" s="1">
        <v>2.93</v>
      </c>
      <c r="D103" s="1">
        <v>300</v>
      </c>
      <c r="E103" s="1">
        <v>293.8</v>
      </c>
      <c r="F103" s="1">
        <v>31.08</v>
      </c>
      <c r="G103" s="1">
        <f t="shared" si="3"/>
        <v>3</v>
      </c>
      <c r="H103" s="1">
        <f t="shared" si="4"/>
        <v>34.129692832764505</v>
      </c>
      <c r="I103" s="1">
        <v>0.12837021050287903</v>
      </c>
      <c r="J103" s="1">
        <v>1.2134867389236124</v>
      </c>
      <c r="K103" s="1">
        <v>334244.62552000023</v>
      </c>
      <c r="L103" s="1">
        <v>275441.51476799994</v>
      </c>
      <c r="M103">
        <v>664</v>
      </c>
      <c r="N103" s="6">
        <v>0</v>
      </c>
    </row>
    <row r="104" spans="1:14" x14ac:dyDescent="0.25">
      <c r="A104" s="1">
        <v>100</v>
      </c>
      <c r="B104" s="1">
        <v>100</v>
      </c>
      <c r="C104" s="1">
        <v>2.93</v>
      </c>
      <c r="D104" s="1">
        <v>300</v>
      </c>
      <c r="E104" s="1">
        <v>293.8</v>
      </c>
      <c r="F104" s="1">
        <v>31.08</v>
      </c>
      <c r="G104" s="1">
        <f t="shared" si="3"/>
        <v>3</v>
      </c>
      <c r="H104" s="1">
        <f t="shared" si="4"/>
        <v>34.129692832764505</v>
      </c>
      <c r="I104" s="1">
        <v>0.12837021050287903</v>
      </c>
      <c r="J104" s="1">
        <v>1.2134867389236124</v>
      </c>
      <c r="K104" s="1">
        <v>334244.62552000023</v>
      </c>
      <c r="L104" s="1">
        <v>275441.51476799994</v>
      </c>
      <c r="M104">
        <v>676</v>
      </c>
      <c r="N104" s="6">
        <v>0</v>
      </c>
    </row>
    <row r="105" spans="1:14" x14ac:dyDescent="0.25">
      <c r="A105" s="1">
        <v>100</v>
      </c>
      <c r="B105" s="1">
        <v>100</v>
      </c>
      <c r="C105" s="1">
        <v>2.93</v>
      </c>
      <c r="D105" s="1">
        <v>300</v>
      </c>
      <c r="E105" s="1">
        <v>293.8</v>
      </c>
      <c r="F105" s="1">
        <v>31.08</v>
      </c>
      <c r="G105" s="1">
        <f t="shared" si="3"/>
        <v>3</v>
      </c>
      <c r="H105" s="1">
        <f t="shared" si="4"/>
        <v>34.129692832764505</v>
      </c>
      <c r="I105" s="1">
        <v>0.12837021050287903</v>
      </c>
      <c r="J105" s="1">
        <v>1.2134867389236124</v>
      </c>
      <c r="K105" s="1">
        <v>334244.62552000023</v>
      </c>
      <c r="L105" s="1">
        <v>275441.51476799994</v>
      </c>
      <c r="M105">
        <v>616</v>
      </c>
      <c r="N105" s="6">
        <v>0</v>
      </c>
    </row>
    <row r="106" spans="1:14" x14ac:dyDescent="0.25">
      <c r="A106" s="1">
        <v>100</v>
      </c>
      <c r="B106" s="1">
        <v>100</v>
      </c>
      <c r="C106" s="1">
        <v>2.93</v>
      </c>
      <c r="D106" s="1">
        <v>300</v>
      </c>
      <c r="E106" s="1">
        <v>293.8</v>
      </c>
      <c r="F106" s="1">
        <v>31.08</v>
      </c>
      <c r="G106" s="1">
        <f t="shared" si="3"/>
        <v>3</v>
      </c>
      <c r="H106" s="1">
        <f t="shared" si="4"/>
        <v>34.129692832764505</v>
      </c>
      <c r="I106" s="1">
        <v>0.12837021050287903</v>
      </c>
      <c r="J106" s="1">
        <v>1.2134867389236124</v>
      </c>
      <c r="K106" s="1">
        <v>334244.62552000023</v>
      </c>
      <c r="L106" s="1">
        <v>275441.51476799994</v>
      </c>
      <c r="M106">
        <v>636</v>
      </c>
      <c r="N106" s="6">
        <v>0</v>
      </c>
    </row>
    <row r="107" spans="1:14" x14ac:dyDescent="0.25">
      <c r="A107" s="1">
        <v>105</v>
      </c>
      <c r="B107" s="1">
        <v>140</v>
      </c>
      <c r="C107" s="1">
        <v>2.86</v>
      </c>
      <c r="D107" s="1">
        <v>420</v>
      </c>
      <c r="E107" s="1">
        <v>227.7</v>
      </c>
      <c r="F107" s="1">
        <v>41.51</v>
      </c>
      <c r="G107" s="1">
        <f t="shared" si="3"/>
        <v>4</v>
      </c>
      <c r="H107" s="1">
        <f t="shared" si="4"/>
        <v>36.713286713286713</v>
      </c>
      <c r="I107" s="1">
        <v>0.10266663498187845</v>
      </c>
      <c r="J107" s="1">
        <v>0.56317014660018605</v>
      </c>
      <c r="K107" s="1">
        <v>311648.80031999998</v>
      </c>
      <c r="L107" s="1">
        <v>553383.02678399999</v>
      </c>
      <c r="M107">
        <v>1044</v>
      </c>
      <c r="N107" s="6">
        <v>0</v>
      </c>
    </row>
    <row r="108" spans="1:14" x14ac:dyDescent="0.25">
      <c r="A108" s="1">
        <v>105</v>
      </c>
      <c r="B108" s="1">
        <v>140</v>
      </c>
      <c r="C108" s="1">
        <v>2.86</v>
      </c>
      <c r="D108" s="1">
        <v>420</v>
      </c>
      <c r="E108" s="1">
        <v>227.7</v>
      </c>
      <c r="F108" s="1">
        <v>41.51</v>
      </c>
      <c r="G108" s="1">
        <f t="shared" si="3"/>
        <v>4</v>
      </c>
      <c r="H108" s="1">
        <f t="shared" si="4"/>
        <v>36.713286713286713</v>
      </c>
      <c r="I108" s="1">
        <v>0.10266663498187845</v>
      </c>
      <c r="J108" s="1">
        <v>0.56317014660018605</v>
      </c>
      <c r="K108" s="1">
        <v>311648.80031999998</v>
      </c>
      <c r="L108" s="1">
        <v>553383.02678399999</v>
      </c>
      <c r="M108">
        <v>1086</v>
      </c>
      <c r="N108" s="6">
        <v>0</v>
      </c>
    </row>
    <row r="109" spans="1:14" x14ac:dyDescent="0.25">
      <c r="A109" s="1">
        <v>105</v>
      </c>
      <c r="B109" s="1">
        <v>140</v>
      </c>
      <c r="C109" s="1">
        <v>2.86</v>
      </c>
      <c r="D109" s="1">
        <v>420</v>
      </c>
      <c r="E109" s="1">
        <v>227.7</v>
      </c>
      <c r="F109" s="1">
        <v>41.51</v>
      </c>
      <c r="G109" s="1">
        <f t="shared" si="3"/>
        <v>4</v>
      </c>
      <c r="H109" s="1">
        <f t="shared" si="4"/>
        <v>36.713286713286713</v>
      </c>
      <c r="I109" s="1">
        <v>0.10266663498187845</v>
      </c>
      <c r="J109" s="1">
        <v>0.56317014660018605</v>
      </c>
      <c r="K109" s="1">
        <v>311648.80031999998</v>
      </c>
      <c r="L109" s="1">
        <v>553383.02678399999</v>
      </c>
      <c r="M109">
        <v>900</v>
      </c>
      <c r="N109" s="6">
        <v>0</v>
      </c>
    </row>
    <row r="110" spans="1:14" x14ac:dyDescent="0.25">
      <c r="A110" s="1">
        <v>105</v>
      </c>
      <c r="B110" s="1">
        <v>140</v>
      </c>
      <c r="C110" s="1">
        <v>2.86</v>
      </c>
      <c r="D110" s="1">
        <v>420</v>
      </c>
      <c r="E110" s="1">
        <v>227.7</v>
      </c>
      <c r="F110" s="1">
        <v>41.51</v>
      </c>
      <c r="G110" s="1">
        <f t="shared" si="3"/>
        <v>4</v>
      </c>
      <c r="H110" s="1">
        <f t="shared" si="4"/>
        <v>36.713286713286713</v>
      </c>
      <c r="I110" s="1">
        <v>0.10266663498187845</v>
      </c>
      <c r="J110" s="1">
        <v>0.56317014660018605</v>
      </c>
      <c r="K110" s="1">
        <v>311648.80031999998</v>
      </c>
      <c r="L110" s="1">
        <v>553383.02678399999</v>
      </c>
      <c r="M110">
        <v>920</v>
      </c>
      <c r="N110" s="6">
        <v>0</v>
      </c>
    </row>
    <row r="111" spans="1:14" x14ac:dyDescent="0.25">
      <c r="A111" s="1">
        <v>90</v>
      </c>
      <c r="B111" s="1">
        <v>140</v>
      </c>
      <c r="C111" s="1">
        <v>2.86</v>
      </c>
      <c r="D111" s="1">
        <v>360</v>
      </c>
      <c r="E111" s="1">
        <v>227.7</v>
      </c>
      <c r="F111" s="1">
        <v>41.51</v>
      </c>
      <c r="G111" s="1">
        <f t="shared" si="3"/>
        <v>4</v>
      </c>
      <c r="H111" s="1">
        <f t="shared" si="4"/>
        <v>31.46853146853147</v>
      </c>
      <c r="I111" s="1">
        <v>0.11335761937420401</v>
      </c>
      <c r="J111" s="1">
        <v>0.62181474178526264</v>
      </c>
      <c r="K111" s="1">
        <v>292112.14032000012</v>
      </c>
      <c r="L111" s="1">
        <v>469773.58478399995</v>
      </c>
      <c r="M111">
        <v>800</v>
      </c>
      <c r="N111" s="6">
        <v>0</v>
      </c>
    </row>
    <row r="112" spans="1:14" x14ac:dyDescent="0.25">
      <c r="A112" s="1">
        <v>90</v>
      </c>
      <c r="B112" s="1">
        <v>120</v>
      </c>
      <c r="C112" s="1">
        <v>2.86</v>
      </c>
      <c r="D112" s="1">
        <v>360</v>
      </c>
      <c r="E112" s="1">
        <v>227.7</v>
      </c>
      <c r="F112" s="1">
        <v>41.51</v>
      </c>
      <c r="G112" s="1">
        <f t="shared" si="3"/>
        <v>4</v>
      </c>
      <c r="H112" s="1">
        <f t="shared" si="4"/>
        <v>31.46853146853147</v>
      </c>
      <c r="I112" s="1">
        <v>0.1213185243979806</v>
      </c>
      <c r="J112" s="1">
        <v>0.66548369080752057</v>
      </c>
      <c r="K112" s="1">
        <v>266063.26031999977</v>
      </c>
      <c r="L112" s="1">
        <v>399804.32878400001</v>
      </c>
      <c r="M112">
        <v>760</v>
      </c>
      <c r="N112" s="6">
        <v>0</v>
      </c>
    </row>
    <row r="113" spans="1:14" x14ac:dyDescent="0.25">
      <c r="A113" s="1">
        <v>90</v>
      </c>
      <c r="B113" s="1">
        <v>120</v>
      </c>
      <c r="C113" s="1">
        <v>2.86</v>
      </c>
      <c r="D113" s="1">
        <v>360</v>
      </c>
      <c r="E113" s="1">
        <v>227.7</v>
      </c>
      <c r="F113" s="1">
        <v>41.51</v>
      </c>
      <c r="G113" s="1">
        <f t="shared" si="3"/>
        <v>4</v>
      </c>
      <c r="H113" s="1">
        <f t="shared" si="4"/>
        <v>31.46853146853147</v>
      </c>
      <c r="I113" s="1">
        <v>0.1213185243979806</v>
      </c>
      <c r="J113" s="1">
        <v>0.66548369080752057</v>
      </c>
      <c r="K113" s="1">
        <v>266063.26031999977</v>
      </c>
      <c r="L113" s="1">
        <v>399804.32878400001</v>
      </c>
      <c r="M113">
        <v>620</v>
      </c>
      <c r="N113" s="6">
        <v>0</v>
      </c>
    </row>
    <row r="114" spans="1:14" x14ac:dyDescent="0.25">
      <c r="A114" s="1">
        <v>90</v>
      </c>
      <c r="B114" s="1">
        <v>120</v>
      </c>
      <c r="C114" s="1">
        <v>2.86</v>
      </c>
      <c r="D114" s="1">
        <v>360</v>
      </c>
      <c r="E114" s="1">
        <v>227.7</v>
      </c>
      <c r="F114" s="1">
        <v>41.51</v>
      </c>
      <c r="G114" s="1">
        <f t="shared" si="3"/>
        <v>4</v>
      </c>
      <c r="H114" s="1">
        <f t="shared" si="4"/>
        <v>31.46853146853147</v>
      </c>
      <c r="I114" s="1">
        <v>0.1213185243979806</v>
      </c>
      <c r="J114" s="1">
        <v>0.66548369080752057</v>
      </c>
      <c r="K114" s="1">
        <v>266063.26031999977</v>
      </c>
      <c r="L114" s="1">
        <v>399804.32878400001</v>
      </c>
      <c r="M114">
        <v>520</v>
      </c>
      <c r="N114" s="6">
        <v>0</v>
      </c>
    </row>
    <row r="115" spans="1:14" x14ac:dyDescent="0.25">
      <c r="A115" s="1">
        <v>119.7</v>
      </c>
      <c r="B115" s="1">
        <v>119.7</v>
      </c>
      <c r="C115" s="1">
        <v>4.2</v>
      </c>
      <c r="D115" s="1">
        <v>400</v>
      </c>
      <c r="E115" s="1">
        <v>335</v>
      </c>
      <c r="F115" s="1">
        <v>30.729999999999997</v>
      </c>
      <c r="G115" s="1">
        <f t="shared" si="3"/>
        <v>3.3416875522138678</v>
      </c>
      <c r="H115" s="1">
        <f t="shared" si="4"/>
        <v>28.5</v>
      </c>
      <c r="I115" s="1">
        <v>0.15663937344250636</v>
      </c>
      <c r="J115" s="1">
        <v>1.7075883535060083</v>
      </c>
      <c r="K115" s="1">
        <v>650034.00000000047</v>
      </c>
      <c r="L115" s="1">
        <v>380673.71369999991</v>
      </c>
      <c r="M115">
        <v>1107</v>
      </c>
      <c r="N115" s="6">
        <v>0</v>
      </c>
    </row>
    <row r="116" spans="1:14" x14ac:dyDescent="0.25">
      <c r="A116" s="1">
        <v>148.5</v>
      </c>
      <c r="B116" s="1">
        <v>148.5</v>
      </c>
      <c r="C116" s="1">
        <v>4.0999999999999996</v>
      </c>
      <c r="D116" s="1">
        <v>450</v>
      </c>
      <c r="E116" s="1">
        <v>707</v>
      </c>
      <c r="F116" s="1">
        <v>94.5</v>
      </c>
      <c r="G116" s="1">
        <f t="shared" si="3"/>
        <v>3.0303030303030303</v>
      </c>
      <c r="H116" s="1">
        <f t="shared" si="4"/>
        <v>36.219512195121958</v>
      </c>
      <c r="I116" s="1">
        <v>0.12030833023015013</v>
      </c>
      <c r="J116" s="1">
        <v>0.9000845446848269</v>
      </c>
      <c r="K116" s="1">
        <v>1674289.1199999973</v>
      </c>
      <c r="L116" s="1">
        <v>1860146.5050000004</v>
      </c>
      <c r="M116">
        <v>4454</v>
      </c>
      <c r="N116" s="6">
        <v>0</v>
      </c>
    </row>
    <row r="117" spans="1:14" x14ac:dyDescent="0.25">
      <c r="A117" s="1">
        <v>147.9</v>
      </c>
      <c r="B117" s="1">
        <v>147.9</v>
      </c>
      <c r="C117" s="1">
        <v>4</v>
      </c>
      <c r="D117" s="1">
        <v>450</v>
      </c>
      <c r="E117" s="1">
        <v>934</v>
      </c>
      <c r="F117" s="1">
        <v>94.5</v>
      </c>
      <c r="G117" s="1">
        <f t="shared" si="3"/>
        <v>3.042596348884381</v>
      </c>
      <c r="H117" s="1">
        <f t="shared" si="4"/>
        <v>36.975000000000001</v>
      </c>
      <c r="I117" s="1">
        <v>0.11763738113765532</v>
      </c>
      <c r="J117" s="1">
        <v>1.1626805712441277</v>
      </c>
      <c r="K117" s="1">
        <v>2150441.6000000015</v>
      </c>
      <c r="L117" s="1">
        <v>1849554.9450000003</v>
      </c>
      <c r="M117">
        <v>4649</v>
      </c>
      <c r="N117" s="6">
        <v>0</v>
      </c>
    </row>
    <row r="118" spans="1:14" x14ac:dyDescent="0.25">
      <c r="A118" s="1">
        <v>200</v>
      </c>
      <c r="B118" s="1">
        <v>200</v>
      </c>
      <c r="C118" s="1">
        <v>4.6500000000000004</v>
      </c>
      <c r="D118" s="1">
        <v>600</v>
      </c>
      <c r="E118" s="1">
        <v>427</v>
      </c>
      <c r="F118" s="1">
        <v>65.38</v>
      </c>
      <c r="G118" s="1">
        <f t="shared" si="3"/>
        <v>3</v>
      </c>
      <c r="H118" s="1">
        <f t="shared" si="4"/>
        <v>43.01075268817204</v>
      </c>
      <c r="I118" s="1">
        <v>9.9913684273626693E-2</v>
      </c>
      <c r="J118" s="1">
        <v>0.65254119279349343</v>
      </c>
      <c r="K118" s="1">
        <v>1551508.7700000009</v>
      </c>
      <c r="L118" s="1">
        <v>2377641.1161999996</v>
      </c>
      <c r="M118">
        <v>4430</v>
      </c>
      <c r="N118" s="6">
        <v>0</v>
      </c>
    </row>
    <row r="119" spans="1:14" x14ac:dyDescent="0.25">
      <c r="A119" s="1">
        <v>200</v>
      </c>
      <c r="B119" s="1">
        <v>200</v>
      </c>
      <c r="C119" s="1">
        <v>4.6500000000000004</v>
      </c>
      <c r="D119" s="1">
        <v>600</v>
      </c>
      <c r="E119" s="1">
        <v>427</v>
      </c>
      <c r="F119" s="1">
        <v>72.099999999999994</v>
      </c>
      <c r="G119" s="1">
        <f t="shared" si="3"/>
        <v>3</v>
      </c>
      <c r="H119" s="1">
        <f t="shared" si="4"/>
        <v>43.01075268817204</v>
      </c>
      <c r="I119" s="1">
        <v>9.9913684273626693E-2</v>
      </c>
      <c r="J119" s="1">
        <v>0.59172181948458535</v>
      </c>
      <c r="K119" s="1">
        <v>1551508.7700000009</v>
      </c>
      <c r="L119" s="1">
        <v>2622023.9289999995</v>
      </c>
      <c r="M119">
        <v>4569</v>
      </c>
      <c r="N119" s="6">
        <v>0</v>
      </c>
    </row>
    <row r="120" spans="1:14" x14ac:dyDescent="0.25">
      <c r="A120" s="1">
        <v>200</v>
      </c>
      <c r="B120" s="1">
        <v>200</v>
      </c>
      <c r="C120" s="1">
        <v>8.33</v>
      </c>
      <c r="D120" s="1">
        <v>600</v>
      </c>
      <c r="E120" s="1">
        <v>379</v>
      </c>
      <c r="F120" s="1">
        <v>65.38</v>
      </c>
      <c r="G120" s="1">
        <f t="shared" si="3"/>
        <v>3</v>
      </c>
      <c r="H120" s="1">
        <f t="shared" si="4"/>
        <v>24.009603841536613</v>
      </c>
      <c r="I120" s="1">
        <v>0.18999609788379543</v>
      </c>
      <c r="J120" s="1">
        <v>1.1013845380538159</v>
      </c>
      <c r="K120" s="1">
        <v>2420462.4276000001</v>
      </c>
      <c r="L120" s="1">
        <v>2197654.2651279997</v>
      </c>
      <c r="M120">
        <v>5480</v>
      </c>
      <c r="N120" s="6">
        <v>0</v>
      </c>
    </row>
    <row r="121" spans="1:14" x14ac:dyDescent="0.25">
      <c r="A121" s="1">
        <v>200</v>
      </c>
      <c r="B121" s="1">
        <v>200</v>
      </c>
      <c r="C121" s="1">
        <v>8.33</v>
      </c>
      <c r="D121" s="1">
        <v>600</v>
      </c>
      <c r="E121" s="1">
        <v>379</v>
      </c>
      <c r="F121" s="1">
        <v>72.099999999999994</v>
      </c>
      <c r="G121" s="1">
        <f t="shared" si="3"/>
        <v>3</v>
      </c>
      <c r="H121" s="1">
        <f t="shared" si="4"/>
        <v>24.009603841536613</v>
      </c>
      <c r="I121" s="1">
        <v>0.18999609788379543</v>
      </c>
      <c r="J121" s="1">
        <v>0.99873122188569319</v>
      </c>
      <c r="K121" s="1">
        <v>2420462.4276000001</v>
      </c>
      <c r="L121" s="1">
        <v>2423537.3587599997</v>
      </c>
      <c r="M121">
        <v>5207</v>
      </c>
      <c r="N121" s="6">
        <v>0</v>
      </c>
    </row>
    <row r="122" spans="1:14" x14ac:dyDescent="0.25">
      <c r="A122" s="1">
        <v>200</v>
      </c>
      <c r="B122" s="1">
        <v>200</v>
      </c>
      <c r="C122" s="1">
        <v>7.69</v>
      </c>
      <c r="D122" s="1">
        <v>600</v>
      </c>
      <c r="E122" s="1">
        <v>670</v>
      </c>
      <c r="F122" s="1">
        <v>65.38</v>
      </c>
      <c r="G122" s="1">
        <f t="shared" si="3"/>
        <v>3</v>
      </c>
      <c r="H122" s="1">
        <f t="shared" si="4"/>
        <v>26.007802340702209</v>
      </c>
      <c r="I122" s="1">
        <v>0.17355243275600307</v>
      </c>
      <c r="J122" s="1">
        <v>1.778527530537199</v>
      </c>
      <c r="K122" s="1">
        <v>3963355.2520000008</v>
      </c>
      <c r="L122" s="1">
        <v>2228447.5128719998</v>
      </c>
      <c r="M122">
        <v>7301</v>
      </c>
      <c r="N122" s="6">
        <v>0</v>
      </c>
    </row>
    <row r="123" spans="1:14" x14ac:dyDescent="0.25">
      <c r="A123" s="1">
        <v>200</v>
      </c>
      <c r="B123" s="1">
        <v>200</v>
      </c>
      <c r="C123" s="1">
        <v>7.69</v>
      </c>
      <c r="D123" s="1">
        <v>600</v>
      </c>
      <c r="E123" s="1">
        <v>670</v>
      </c>
      <c r="F123" s="1">
        <v>72.099999999999994</v>
      </c>
      <c r="G123" s="1">
        <f t="shared" si="3"/>
        <v>3</v>
      </c>
      <c r="H123" s="1">
        <f t="shared" si="4"/>
        <v>26.007802340702209</v>
      </c>
      <c r="I123" s="1">
        <v>0.17355243275600307</v>
      </c>
      <c r="J123" s="1">
        <v>1.6127618577881009</v>
      </c>
      <c r="K123" s="1">
        <v>3963355.2520000008</v>
      </c>
      <c r="L123" s="1">
        <v>2457495.6512399996</v>
      </c>
      <c r="M123">
        <v>7290</v>
      </c>
      <c r="N123" s="6">
        <v>0</v>
      </c>
    </row>
    <row r="124" spans="1:14" x14ac:dyDescent="0.25">
      <c r="A124" s="1">
        <v>200</v>
      </c>
      <c r="B124" s="1">
        <v>200</v>
      </c>
      <c r="C124" s="1">
        <v>4.6500000000000004</v>
      </c>
      <c r="D124" s="1">
        <v>600</v>
      </c>
      <c r="E124" s="1">
        <v>427</v>
      </c>
      <c r="F124" s="1">
        <v>94.5</v>
      </c>
      <c r="G124" s="1">
        <f t="shared" si="3"/>
        <v>3</v>
      </c>
      <c r="H124" s="1">
        <f t="shared" si="4"/>
        <v>43.01075268817204</v>
      </c>
      <c r="I124" s="1">
        <v>9.9913684273626693E-2</v>
      </c>
      <c r="J124" s="1">
        <v>0.45146183264379469</v>
      </c>
      <c r="K124" s="1">
        <v>1551508.7700000009</v>
      </c>
      <c r="L124" s="1">
        <v>3436633.3049999997</v>
      </c>
      <c r="M124">
        <v>6157</v>
      </c>
      <c r="N124" s="6">
        <v>0</v>
      </c>
    </row>
    <row r="125" spans="1:14" x14ac:dyDescent="0.25">
      <c r="A125" s="1">
        <v>200</v>
      </c>
      <c r="B125" s="1">
        <v>200</v>
      </c>
      <c r="C125" s="1">
        <v>4.6500000000000004</v>
      </c>
      <c r="D125" s="1">
        <v>600</v>
      </c>
      <c r="E125" s="1">
        <v>427</v>
      </c>
      <c r="F125" s="1">
        <v>108.5</v>
      </c>
      <c r="G125" s="1">
        <f t="shared" si="3"/>
        <v>3</v>
      </c>
      <c r="H125" s="1">
        <f t="shared" si="4"/>
        <v>43.01075268817204</v>
      </c>
      <c r="I125" s="1">
        <v>9.9913684273626693E-2</v>
      </c>
      <c r="J125" s="1">
        <v>0.39320869294782118</v>
      </c>
      <c r="K125" s="1">
        <v>1551508.7700000009</v>
      </c>
      <c r="L125" s="1">
        <v>3945764.1649999996</v>
      </c>
      <c r="M125">
        <v>6782</v>
      </c>
      <c r="N125" s="6">
        <v>0</v>
      </c>
    </row>
    <row r="126" spans="1:14" x14ac:dyDescent="0.25">
      <c r="A126" s="1">
        <v>200</v>
      </c>
      <c r="B126" s="1">
        <v>200</v>
      </c>
      <c r="C126" s="1">
        <v>8.33</v>
      </c>
      <c r="D126" s="1">
        <v>600</v>
      </c>
      <c r="E126" s="1">
        <v>379</v>
      </c>
      <c r="F126" s="1">
        <v>94.5</v>
      </c>
      <c r="G126" s="1">
        <f t="shared" si="3"/>
        <v>3</v>
      </c>
      <c r="H126" s="1">
        <f t="shared" si="4"/>
        <v>24.009603841536613</v>
      </c>
      <c r="I126" s="1">
        <v>0.18999609788379543</v>
      </c>
      <c r="J126" s="1">
        <v>0.76199493225352877</v>
      </c>
      <c r="K126" s="1">
        <v>2420462.4276000001</v>
      </c>
      <c r="L126" s="1">
        <v>3176481.0041999999</v>
      </c>
      <c r="M126">
        <v>6786</v>
      </c>
      <c r="N126" s="6">
        <v>0</v>
      </c>
    </row>
    <row r="127" spans="1:14" x14ac:dyDescent="0.25">
      <c r="A127" s="1">
        <v>200</v>
      </c>
      <c r="B127" s="1">
        <v>200</v>
      </c>
      <c r="C127" s="1">
        <v>8.33</v>
      </c>
      <c r="D127" s="1">
        <v>600</v>
      </c>
      <c r="E127" s="1">
        <v>379</v>
      </c>
      <c r="F127" s="1">
        <v>108.5</v>
      </c>
      <c r="G127" s="1">
        <f t="shared" si="3"/>
        <v>3</v>
      </c>
      <c r="H127" s="1">
        <f t="shared" si="4"/>
        <v>24.009603841536613</v>
      </c>
      <c r="I127" s="1">
        <v>0.18999609788379543</v>
      </c>
      <c r="J127" s="1">
        <v>0.66367300551113795</v>
      </c>
      <c r="K127" s="1">
        <v>2420462.4276000001</v>
      </c>
      <c r="L127" s="1">
        <v>3647070.7826</v>
      </c>
      <c r="M127">
        <v>7285</v>
      </c>
      <c r="N127" s="6">
        <v>0</v>
      </c>
    </row>
    <row r="128" spans="1:14" x14ac:dyDescent="0.25">
      <c r="A128" s="1">
        <v>200</v>
      </c>
      <c r="B128" s="1">
        <v>200</v>
      </c>
      <c r="C128" s="1">
        <v>7.69</v>
      </c>
      <c r="D128" s="1">
        <v>600</v>
      </c>
      <c r="E128" s="1">
        <v>670</v>
      </c>
      <c r="F128" s="1">
        <v>94.5</v>
      </c>
      <c r="G128" s="1">
        <f t="shared" si="3"/>
        <v>3</v>
      </c>
      <c r="H128" s="1">
        <f t="shared" si="4"/>
        <v>26.007802340702209</v>
      </c>
      <c r="I128" s="1">
        <v>0.17355243275600307</v>
      </c>
      <c r="J128" s="1">
        <v>1.230477565571662</v>
      </c>
      <c r="K128" s="1">
        <v>3963355.2520000008</v>
      </c>
      <c r="L128" s="1">
        <v>3220989.4457999999</v>
      </c>
      <c r="M128">
        <v>8173</v>
      </c>
      <c r="N128" s="6">
        <v>0</v>
      </c>
    </row>
    <row r="129" spans="1:14" x14ac:dyDescent="0.25">
      <c r="A129" s="1">
        <v>200</v>
      </c>
      <c r="B129" s="1">
        <v>200</v>
      </c>
      <c r="C129" s="1">
        <v>7.69</v>
      </c>
      <c r="D129" s="1">
        <v>600</v>
      </c>
      <c r="E129" s="1">
        <v>670</v>
      </c>
      <c r="F129" s="1">
        <v>108.5</v>
      </c>
      <c r="G129" s="1">
        <f t="shared" si="3"/>
        <v>3</v>
      </c>
      <c r="H129" s="1">
        <f t="shared" si="4"/>
        <v>26.007802340702209</v>
      </c>
      <c r="I129" s="1">
        <v>0.17355243275600307</v>
      </c>
      <c r="J129" s="1">
        <v>1.0717062667882218</v>
      </c>
      <c r="K129" s="1">
        <v>3963355.2520000008</v>
      </c>
      <c r="L129" s="1">
        <v>3698173.0674000001</v>
      </c>
      <c r="M129">
        <v>8986</v>
      </c>
      <c r="N129" s="6">
        <v>0</v>
      </c>
    </row>
    <row r="130" spans="1:14" x14ac:dyDescent="0.25">
      <c r="A130" s="1">
        <v>100</v>
      </c>
      <c r="B130" s="1">
        <v>100</v>
      </c>
      <c r="C130" s="1">
        <v>5</v>
      </c>
      <c r="D130" s="1">
        <v>300</v>
      </c>
      <c r="E130" s="1">
        <v>592.6</v>
      </c>
      <c r="F130" s="1">
        <v>111.3</v>
      </c>
      <c r="G130" s="1">
        <f t="shared" ref="G130:G193" si="5">D130/A130</f>
        <v>3</v>
      </c>
      <c r="H130" s="1">
        <f t="shared" ref="H130:H193" si="6">A130/C130</f>
        <v>20</v>
      </c>
      <c r="I130" s="1">
        <v>0.23456790123456789</v>
      </c>
      <c r="J130" s="1">
        <v>1.248921278271383</v>
      </c>
      <c r="K130" s="1">
        <v>1125940</v>
      </c>
      <c r="L130" s="1">
        <v>901530</v>
      </c>
      <c r="M130">
        <v>2050.6</v>
      </c>
      <c r="N130" s="6">
        <v>0</v>
      </c>
    </row>
    <row r="131" spans="1:14" x14ac:dyDescent="0.25">
      <c r="A131" s="1">
        <v>100</v>
      </c>
      <c r="B131" s="1">
        <v>100</v>
      </c>
      <c r="C131" s="1">
        <v>6</v>
      </c>
      <c r="D131" s="1">
        <v>300</v>
      </c>
      <c r="E131" s="1">
        <v>548.70000000000005</v>
      </c>
      <c r="F131" s="1">
        <v>111.3</v>
      </c>
      <c r="G131" s="1">
        <f t="shared" si="5"/>
        <v>3</v>
      </c>
      <c r="H131" s="1">
        <f t="shared" si="6"/>
        <v>16.666666666666668</v>
      </c>
      <c r="I131" s="1">
        <v>0.29132231404958675</v>
      </c>
      <c r="J131" s="1">
        <v>1.4361954512040278</v>
      </c>
      <c r="K131" s="1">
        <v>1237867.2000000002</v>
      </c>
      <c r="L131" s="1">
        <v>861907.2</v>
      </c>
      <c r="M131">
        <v>2181.5</v>
      </c>
      <c r="N131" s="6">
        <v>0</v>
      </c>
    </row>
    <row r="132" spans="1:14" x14ac:dyDescent="0.25">
      <c r="A132" s="1">
        <v>100</v>
      </c>
      <c r="B132" s="1">
        <v>100</v>
      </c>
      <c r="C132" s="1">
        <v>7</v>
      </c>
      <c r="D132" s="1">
        <v>300</v>
      </c>
      <c r="E132" s="1">
        <v>510.5</v>
      </c>
      <c r="F132" s="1">
        <v>111.3</v>
      </c>
      <c r="G132" s="1">
        <f t="shared" si="5"/>
        <v>3</v>
      </c>
      <c r="H132" s="1">
        <f t="shared" si="6"/>
        <v>14.285714285714286</v>
      </c>
      <c r="I132" s="1">
        <v>0.3520822065981612</v>
      </c>
      <c r="J132" s="1">
        <v>1.6148963743788076</v>
      </c>
      <c r="K132" s="1">
        <v>1329342</v>
      </c>
      <c r="L132" s="1">
        <v>823174.79999999993</v>
      </c>
      <c r="M132">
        <v>2270.1</v>
      </c>
      <c r="N132" s="6">
        <v>0</v>
      </c>
    </row>
    <row r="133" spans="1:14" x14ac:dyDescent="0.25">
      <c r="A133" s="1">
        <v>100</v>
      </c>
      <c r="B133" s="1">
        <v>100</v>
      </c>
      <c r="C133" s="1">
        <v>10</v>
      </c>
      <c r="D133" s="1">
        <v>300</v>
      </c>
      <c r="E133" s="1">
        <v>493.5</v>
      </c>
      <c r="F133" s="1">
        <v>111.3</v>
      </c>
      <c r="G133" s="1">
        <f t="shared" si="5"/>
        <v>3</v>
      </c>
      <c r="H133" s="1">
        <f t="shared" si="6"/>
        <v>10</v>
      </c>
      <c r="I133" s="1">
        <v>0.5625</v>
      </c>
      <c r="J133" s="1">
        <v>2.4941037735849059</v>
      </c>
      <c r="K133" s="1">
        <v>1776600</v>
      </c>
      <c r="L133" s="1">
        <v>712320</v>
      </c>
      <c r="M133">
        <v>2656.5</v>
      </c>
      <c r="N133" s="6">
        <v>0</v>
      </c>
    </row>
    <row r="134" spans="1:14" x14ac:dyDescent="0.25">
      <c r="A134" s="1">
        <v>100</v>
      </c>
      <c r="B134" s="1">
        <v>100</v>
      </c>
      <c r="C134" s="1">
        <v>14</v>
      </c>
      <c r="D134" s="1">
        <v>300</v>
      </c>
      <c r="E134" s="1">
        <v>476.6</v>
      </c>
      <c r="F134" s="1">
        <v>111.3</v>
      </c>
      <c r="G134" s="1">
        <f t="shared" si="5"/>
        <v>3</v>
      </c>
      <c r="H134" s="1">
        <f t="shared" si="6"/>
        <v>7.1428571428571432</v>
      </c>
      <c r="I134" s="1">
        <v>0.92901234567901236</v>
      </c>
      <c r="J134" s="1">
        <v>3.9781427129435518</v>
      </c>
      <c r="K134" s="1">
        <v>2295305.6</v>
      </c>
      <c r="L134" s="1">
        <v>576979.19999999995</v>
      </c>
      <c r="M134">
        <v>3134.8</v>
      </c>
      <c r="N134" s="6">
        <v>0</v>
      </c>
    </row>
    <row r="135" spans="1:14" x14ac:dyDescent="0.25">
      <c r="A135" s="1">
        <v>100</v>
      </c>
      <c r="B135" s="1">
        <v>100</v>
      </c>
      <c r="C135" s="1">
        <v>18</v>
      </c>
      <c r="D135" s="1">
        <v>300</v>
      </c>
      <c r="E135" s="1">
        <v>468.7</v>
      </c>
      <c r="F135" s="1">
        <v>111.3</v>
      </c>
      <c r="G135" s="1">
        <f t="shared" si="5"/>
        <v>3</v>
      </c>
      <c r="H135" s="1">
        <f t="shared" si="6"/>
        <v>5.5555555555555554</v>
      </c>
      <c r="I135" s="1">
        <v>1.44140625</v>
      </c>
      <c r="J135" s="1">
        <v>6.069965043800539</v>
      </c>
      <c r="K135" s="1">
        <v>2767204.8</v>
      </c>
      <c r="L135" s="1">
        <v>455884.79999999999</v>
      </c>
      <c r="M135">
        <v>3586.6</v>
      </c>
      <c r="N135" s="6">
        <v>0</v>
      </c>
    </row>
    <row r="136" spans="1:14" x14ac:dyDescent="0.25">
      <c r="A136" s="1">
        <v>100</v>
      </c>
      <c r="B136" s="1">
        <v>100</v>
      </c>
      <c r="C136" s="1">
        <v>7</v>
      </c>
      <c r="D136" s="1">
        <v>300</v>
      </c>
      <c r="E136" s="1">
        <v>510.5</v>
      </c>
      <c r="F136" s="1">
        <v>90.3</v>
      </c>
      <c r="G136" s="1">
        <f t="shared" si="5"/>
        <v>3</v>
      </c>
      <c r="H136" s="1">
        <f t="shared" si="6"/>
        <v>14.285714285714286</v>
      </c>
      <c r="I136" s="1">
        <v>0.3520822065981612</v>
      </c>
      <c r="J136" s="1">
        <v>1.9904536707459723</v>
      </c>
      <c r="K136" s="1">
        <v>1329342</v>
      </c>
      <c r="L136" s="1">
        <v>667858.79999999993</v>
      </c>
      <c r="M136">
        <v>2168.9</v>
      </c>
      <c r="N136" s="6">
        <v>0</v>
      </c>
    </row>
    <row r="137" spans="1:14" x14ac:dyDescent="0.25">
      <c r="A137" s="1">
        <v>100</v>
      </c>
      <c r="B137" s="1">
        <v>100</v>
      </c>
      <c r="C137" s="1">
        <v>10</v>
      </c>
      <c r="D137" s="1">
        <v>300</v>
      </c>
      <c r="E137" s="1">
        <v>493.5</v>
      </c>
      <c r="F137" s="1">
        <v>90.3</v>
      </c>
      <c r="G137" s="1">
        <f t="shared" si="5"/>
        <v>3</v>
      </c>
      <c r="H137" s="1">
        <f t="shared" si="6"/>
        <v>10</v>
      </c>
      <c r="I137" s="1">
        <v>0.5625</v>
      </c>
      <c r="J137" s="1">
        <v>3.0741279069767442</v>
      </c>
      <c r="K137" s="1">
        <v>1776600</v>
      </c>
      <c r="L137" s="1">
        <v>577920</v>
      </c>
      <c r="M137">
        <v>2572.4</v>
      </c>
      <c r="N137" s="6">
        <v>0</v>
      </c>
    </row>
    <row r="138" spans="1:14" x14ac:dyDescent="0.25">
      <c r="A138" s="1">
        <v>100</v>
      </c>
      <c r="B138" s="1">
        <v>100</v>
      </c>
      <c r="C138" s="1">
        <v>14</v>
      </c>
      <c r="D138" s="1">
        <v>300</v>
      </c>
      <c r="E138" s="1">
        <v>476.6</v>
      </c>
      <c r="F138" s="1">
        <v>90.3</v>
      </c>
      <c r="G138" s="1">
        <f t="shared" si="5"/>
        <v>3</v>
      </c>
      <c r="H138" s="1">
        <f t="shared" si="6"/>
        <v>7.1428571428571432</v>
      </c>
      <c r="I138" s="1">
        <v>0.92901234567901236</v>
      </c>
      <c r="J138" s="1">
        <v>4.9032921810699586</v>
      </c>
      <c r="K138" s="1">
        <v>2295305.6</v>
      </c>
      <c r="L138" s="1">
        <v>468115.20000000001</v>
      </c>
      <c r="M138">
        <v>3062.8</v>
      </c>
      <c r="N138" s="6">
        <v>0</v>
      </c>
    </row>
    <row r="139" spans="1:14" x14ac:dyDescent="0.25">
      <c r="A139" s="1">
        <v>100</v>
      </c>
      <c r="B139" s="1">
        <v>100</v>
      </c>
      <c r="C139" s="1">
        <v>7</v>
      </c>
      <c r="D139" s="1">
        <v>300</v>
      </c>
      <c r="E139" s="1">
        <v>510.5</v>
      </c>
      <c r="F139" s="1">
        <v>81.400000000000006</v>
      </c>
      <c r="G139" s="1">
        <f t="shared" si="5"/>
        <v>3</v>
      </c>
      <c r="H139" s="1">
        <f t="shared" si="6"/>
        <v>14.285714285714286</v>
      </c>
      <c r="I139" s="1">
        <v>0.3520822065981612</v>
      </c>
      <c r="J139" s="1">
        <v>2.2080831261469442</v>
      </c>
      <c r="K139" s="1">
        <v>1329342</v>
      </c>
      <c r="L139" s="1">
        <v>602034.4</v>
      </c>
      <c r="M139">
        <v>2045.6</v>
      </c>
      <c r="N139" s="6">
        <v>0</v>
      </c>
    </row>
    <row r="140" spans="1:14" x14ac:dyDescent="0.25">
      <c r="A140" s="1">
        <v>100</v>
      </c>
      <c r="B140" s="1">
        <v>100</v>
      </c>
      <c r="C140" s="1">
        <v>10</v>
      </c>
      <c r="D140" s="1">
        <v>300</v>
      </c>
      <c r="E140" s="1">
        <v>493.5</v>
      </c>
      <c r="F140" s="1">
        <v>81.400000000000006</v>
      </c>
      <c r="G140" s="1">
        <f t="shared" si="5"/>
        <v>3</v>
      </c>
      <c r="H140" s="1">
        <f t="shared" si="6"/>
        <v>10</v>
      </c>
      <c r="I140" s="1">
        <v>0.5625</v>
      </c>
      <c r="J140" s="1">
        <v>3.4102426289926284</v>
      </c>
      <c r="K140" s="1">
        <v>1776600</v>
      </c>
      <c r="L140" s="1">
        <v>520960.00000000006</v>
      </c>
      <c r="M140">
        <v>2468.3000000000002</v>
      </c>
      <c r="N140" s="6">
        <v>0</v>
      </c>
    </row>
    <row r="141" spans="1:14" x14ac:dyDescent="0.25">
      <c r="A141" s="1">
        <v>100</v>
      </c>
      <c r="B141" s="1">
        <v>100</v>
      </c>
      <c r="C141" s="1">
        <v>14</v>
      </c>
      <c r="D141" s="1">
        <v>300</v>
      </c>
      <c r="E141" s="1">
        <v>476.6</v>
      </c>
      <c r="F141" s="1">
        <v>81.400000000000006</v>
      </c>
      <c r="G141" s="1">
        <f t="shared" si="5"/>
        <v>3</v>
      </c>
      <c r="H141" s="1">
        <f t="shared" si="6"/>
        <v>7.1428571428571432</v>
      </c>
      <c r="I141" s="1">
        <v>0.92901234567901236</v>
      </c>
      <c r="J141" s="1">
        <v>5.4394015227348556</v>
      </c>
      <c r="K141" s="1">
        <v>2295305.6</v>
      </c>
      <c r="L141" s="1">
        <v>421977.60000000003</v>
      </c>
      <c r="M141">
        <v>2975.7</v>
      </c>
      <c r="N141" s="6">
        <v>0</v>
      </c>
    </row>
    <row r="142" spans="1:14" x14ac:dyDescent="0.25">
      <c r="A142" s="1">
        <v>127.3</v>
      </c>
      <c r="B142" s="1">
        <v>127.3</v>
      </c>
      <c r="C142" s="1">
        <v>3.15</v>
      </c>
      <c r="D142" s="1">
        <f>A142*4.8</f>
        <v>611.04</v>
      </c>
      <c r="E142" s="1">
        <v>356</v>
      </c>
      <c r="F142" s="1">
        <v>26.647249999999996</v>
      </c>
      <c r="G142" s="1">
        <f t="shared" si="5"/>
        <v>4.8</v>
      </c>
      <c r="H142" s="1">
        <f t="shared" si="6"/>
        <v>40.412698412698411</v>
      </c>
      <c r="I142" s="1">
        <v>0.10684311180930257</v>
      </c>
      <c r="J142" s="1">
        <v>1.4273948645399326</v>
      </c>
      <c r="K142" s="1">
        <v>556887.23999999964</v>
      </c>
      <c r="L142" s="1">
        <v>390142.38724999997</v>
      </c>
      <c r="M142">
        <v>917</v>
      </c>
      <c r="N142" s="6">
        <v>0</v>
      </c>
    </row>
    <row r="143" spans="1:14" x14ac:dyDescent="0.25">
      <c r="A143" s="1">
        <v>126.9</v>
      </c>
      <c r="B143" s="1">
        <v>126.9</v>
      </c>
      <c r="C143" s="1">
        <v>4.34</v>
      </c>
      <c r="D143" s="1">
        <f t="shared" ref="D143:D146" si="7">A143*4.8</f>
        <v>609.12</v>
      </c>
      <c r="E143" s="1">
        <v>357</v>
      </c>
      <c r="F143" s="1">
        <v>22.788499999999996</v>
      </c>
      <c r="G143" s="1">
        <f t="shared" si="5"/>
        <v>4.8</v>
      </c>
      <c r="H143" s="1">
        <f t="shared" si="6"/>
        <v>29.239631336405534</v>
      </c>
      <c r="I143" s="1">
        <v>0.15223571913628545</v>
      </c>
      <c r="J143" s="1">
        <v>2.3848937723700074</v>
      </c>
      <c r="K143" s="1">
        <v>759568.05120000034</v>
      </c>
      <c r="L143" s="1">
        <v>318491.35588339996</v>
      </c>
      <c r="M143">
        <v>1095</v>
      </c>
      <c r="N143" s="6">
        <v>0</v>
      </c>
    </row>
    <row r="144" spans="1:14" x14ac:dyDescent="0.25">
      <c r="A144" s="1">
        <v>126.9</v>
      </c>
      <c r="B144" s="1">
        <v>127</v>
      </c>
      <c r="C144" s="1">
        <v>4.55</v>
      </c>
      <c r="D144" s="1">
        <f t="shared" si="7"/>
        <v>609.12</v>
      </c>
      <c r="E144" s="1">
        <v>322</v>
      </c>
      <c r="F144" s="1">
        <v>20.829374999999999</v>
      </c>
      <c r="G144" s="1">
        <f t="shared" si="5"/>
        <v>4.8</v>
      </c>
      <c r="H144" s="1">
        <f t="shared" si="6"/>
        <v>27.890109890109894</v>
      </c>
      <c r="I144" s="1">
        <v>0.16039606526782343</v>
      </c>
      <c r="J144" s="1">
        <v>2.47955269979244</v>
      </c>
      <c r="K144" s="1">
        <v>717312.9599999995</v>
      </c>
      <c r="L144" s="1">
        <v>289291.27421250002</v>
      </c>
      <c r="M144">
        <v>1113</v>
      </c>
      <c r="N144" s="6">
        <v>0</v>
      </c>
    </row>
    <row r="145" spans="1:14" x14ac:dyDescent="0.25">
      <c r="A145" s="1">
        <v>125.3</v>
      </c>
      <c r="B145" s="1">
        <v>126.5</v>
      </c>
      <c r="C145" s="1">
        <v>5.67</v>
      </c>
      <c r="D145" s="1">
        <f t="shared" si="7"/>
        <v>601.43999999999994</v>
      </c>
      <c r="E145" s="1">
        <v>312</v>
      </c>
      <c r="F145" s="1">
        <v>20.829374999999999</v>
      </c>
      <c r="G145" s="1">
        <f t="shared" si="5"/>
        <v>4.8</v>
      </c>
      <c r="H145" s="1">
        <f t="shared" si="6"/>
        <v>22.098765432098766</v>
      </c>
      <c r="I145" s="1">
        <v>0.20777907118650432</v>
      </c>
      <c r="J145" s="1">
        <v>3.1122907053231006</v>
      </c>
      <c r="K145" s="1">
        <v>850766.71679999994</v>
      </c>
      <c r="L145" s="1">
        <v>273357.08561699995</v>
      </c>
      <c r="M145">
        <v>1202</v>
      </c>
      <c r="N145" s="6">
        <v>0</v>
      </c>
    </row>
    <row r="146" spans="1:14" ht="15" x14ac:dyDescent="0.25">
      <c r="A146" s="1">
        <v>126.8</v>
      </c>
      <c r="B146" s="7">
        <v>127.2</v>
      </c>
      <c r="C146" s="1">
        <v>7.47</v>
      </c>
      <c r="D146" s="1">
        <f t="shared" si="7"/>
        <v>608.64</v>
      </c>
      <c r="E146" s="1">
        <v>347</v>
      </c>
      <c r="F146" s="1">
        <v>20.829374999999999</v>
      </c>
      <c r="G146" s="1">
        <f t="shared" si="5"/>
        <v>4.8</v>
      </c>
      <c r="H146" s="1">
        <f t="shared" si="6"/>
        <v>16.974564926372157</v>
      </c>
      <c r="I146" s="1">
        <v>0.28441838088249388</v>
      </c>
      <c r="J146" s="1">
        <v>4.7381728048117324</v>
      </c>
      <c r="K146" s="1">
        <v>1239330.0707999999</v>
      </c>
      <c r="L146" s="1">
        <v>261562.86861074998</v>
      </c>
      <c r="M146">
        <v>2069</v>
      </c>
      <c r="N146" s="6">
        <v>0</v>
      </c>
    </row>
    <row r="147" spans="1:14" x14ac:dyDescent="0.25">
      <c r="A147" s="1">
        <v>76.599999999999994</v>
      </c>
      <c r="B147" s="1">
        <v>152.30000000000001</v>
      </c>
      <c r="C147" s="1">
        <v>3</v>
      </c>
      <c r="D147" s="1">
        <f t="shared" ref="D147:D152" si="8">A147*4</f>
        <v>306.39999999999998</v>
      </c>
      <c r="E147" s="1">
        <v>430</v>
      </c>
      <c r="F147" s="1">
        <v>26.647249999999996</v>
      </c>
      <c r="G147" s="1">
        <f t="shared" si="5"/>
        <v>4</v>
      </c>
      <c r="H147" s="1">
        <f t="shared" si="6"/>
        <v>25.533333333333331</v>
      </c>
      <c r="I147" s="1">
        <v>0.12948286244842078</v>
      </c>
      <c r="J147" s="1">
        <v>2.0894325250380787</v>
      </c>
      <c r="K147" s="1">
        <v>575081.99999999988</v>
      </c>
      <c r="L147" s="1">
        <v>275233.58285499999</v>
      </c>
      <c r="M147">
        <v>819</v>
      </c>
      <c r="N147" s="6">
        <v>0</v>
      </c>
    </row>
    <row r="148" spans="1:14" x14ac:dyDescent="0.25">
      <c r="A148" s="1">
        <v>76.5</v>
      </c>
      <c r="B148" s="1">
        <v>152.80000000000001</v>
      </c>
      <c r="C148" s="1">
        <v>4.47</v>
      </c>
      <c r="D148" s="1">
        <f t="shared" si="8"/>
        <v>306</v>
      </c>
      <c r="E148" s="1">
        <v>383</v>
      </c>
      <c r="F148" s="1">
        <v>22.788499999999996</v>
      </c>
      <c r="G148" s="1">
        <f t="shared" si="5"/>
        <v>4</v>
      </c>
      <c r="H148" s="1">
        <f t="shared" si="6"/>
        <v>17.114093959731544</v>
      </c>
      <c r="I148" s="1">
        <v>0.20269385644569071</v>
      </c>
      <c r="J148" s="1">
        <v>3.4066194360620297</v>
      </c>
      <c r="K148" s="1">
        <v>754517.04719999968</v>
      </c>
      <c r="L148" s="1">
        <v>221485.5698916</v>
      </c>
      <c r="M148">
        <v>1006</v>
      </c>
      <c r="N148" s="6">
        <v>0</v>
      </c>
    </row>
    <row r="149" spans="1:14" x14ac:dyDescent="0.25">
      <c r="A149" s="1">
        <v>101.8</v>
      </c>
      <c r="B149" s="1">
        <v>152.4</v>
      </c>
      <c r="C149" s="1">
        <v>4.32</v>
      </c>
      <c r="D149" s="1">
        <f t="shared" si="8"/>
        <v>407.2</v>
      </c>
      <c r="E149" s="1">
        <v>413</v>
      </c>
      <c r="F149" s="1">
        <v>22.788499999999996</v>
      </c>
      <c r="G149" s="1">
        <f t="shared" si="5"/>
        <v>4</v>
      </c>
      <c r="H149" s="1">
        <f t="shared" si="6"/>
        <v>23.564814814814813</v>
      </c>
      <c r="I149" s="1">
        <v>0.15841774361304922</v>
      </c>
      <c r="J149" s="1">
        <v>2.8710326749101234</v>
      </c>
      <c r="K149" s="1">
        <v>876236.65920000069</v>
      </c>
      <c r="L149" s="1">
        <v>305199.12464159989</v>
      </c>
      <c r="M149">
        <v>1144</v>
      </c>
      <c r="N149" s="6">
        <v>0</v>
      </c>
    </row>
    <row r="150" spans="1:14" x14ac:dyDescent="0.25">
      <c r="A150" s="1">
        <v>102.8</v>
      </c>
      <c r="B150" s="1">
        <v>152.69999999999999</v>
      </c>
      <c r="C150" s="1">
        <v>4.57</v>
      </c>
      <c r="D150" s="1">
        <f t="shared" si="8"/>
        <v>411.2</v>
      </c>
      <c r="E150" s="1">
        <v>365</v>
      </c>
      <c r="F150" s="1">
        <v>20.829374999999999</v>
      </c>
      <c r="G150" s="1">
        <f t="shared" si="5"/>
        <v>4</v>
      </c>
      <c r="H150" s="1">
        <f t="shared" si="6"/>
        <v>22.494529540481398</v>
      </c>
      <c r="I150" s="1">
        <v>0.16746682555013181</v>
      </c>
      <c r="J150" s="1">
        <v>2.934576353145407</v>
      </c>
      <c r="K150" s="1">
        <v>821881.59599999944</v>
      </c>
      <c r="L150" s="1">
        <v>280068.22692449996</v>
      </c>
      <c r="M150">
        <v>1224</v>
      </c>
      <c r="N150" s="6">
        <v>0</v>
      </c>
    </row>
    <row r="151" spans="1:14" x14ac:dyDescent="0.25">
      <c r="A151" s="1">
        <v>101.3</v>
      </c>
      <c r="B151" s="1">
        <v>151.4</v>
      </c>
      <c r="C151" s="1">
        <v>5.72</v>
      </c>
      <c r="D151" s="1">
        <f t="shared" si="8"/>
        <v>405.2</v>
      </c>
      <c r="E151" s="1">
        <v>324</v>
      </c>
      <c r="F151" s="1">
        <v>20.829374999999999</v>
      </c>
      <c r="G151" s="1">
        <f t="shared" si="5"/>
        <v>4</v>
      </c>
      <c r="H151" s="1">
        <f t="shared" si="6"/>
        <v>17.70979020979021</v>
      </c>
      <c r="I151" s="1">
        <v>0.21945273607473093</v>
      </c>
      <c r="J151" s="1">
        <v>3.4135775311651364</v>
      </c>
      <c r="K151" s="1">
        <v>894244.66559999937</v>
      </c>
      <c r="L151" s="1">
        <v>261967.00014450002</v>
      </c>
      <c r="M151">
        <v>1335</v>
      </c>
      <c r="N151" s="6">
        <v>0</v>
      </c>
    </row>
    <row r="152" spans="1:14" x14ac:dyDescent="0.25">
      <c r="A152" s="1">
        <v>102.13</v>
      </c>
      <c r="B152" s="1">
        <v>152.37</v>
      </c>
      <c r="C152" s="1">
        <v>7.34</v>
      </c>
      <c r="D152" s="1">
        <f t="shared" si="8"/>
        <v>408.52</v>
      </c>
      <c r="E152" s="1">
        <v>358</v>
      </c>
      <c r="F152" s="1">
        <v>20.829374999999999</v>
      </c>
      <c r="G152" s="1">
        <f t="shared" si="5"/>
        <v>4</v>
      </c>
      <c r="H152" s="1">
        <f t="shared" si="6"/>
        <v>13.9141689373297</v>
      </c>
      <c r="I152" s="1">
        <v>0.29238106283698195</v>
      </c>
      <c r="J152" s="1">
        <v>5.0252309776764559</v>
      </c>
      <c r="K152" s="1">
        <v>1260359.6208000006</v>
      </c>
      <c r="L152" s="1">
        <v>250806.30649593743</v>
      </c>
      <c r="M152">
        <v>1691</v>
      </c>
      <c r="N152" s="6">
        <v>0</v>
      </c>
    </row>
    <row r="153" spans="1:14" x14ac:dyDescent="0.25">
      <c r="A153" s="1">
        <v>130</v>
      </c>
      <c r="B153" s="1">
        <v>130</v>
      </c>
      <c r="C153" s="1">
        <v>3.2</v>
      </c>
      <c r="D153" s="1">
        <v>390</v>
      </c>
      <c r="E153" s="1">
        <v>313.60000000000002</v>
      </c>
      <c r="F153" s="1">
        <v>25.83</v>
      </c>
      <c r="G153" s="1">
        <f t="shared" si="5"/>
        <v>3</v>
      </c>
      <c r="H153" s="1">
        <f t="shared" si="6"/>
        <v>40.625</v>
      </c>
      <c r="I153" s="1">
        <v>0.10624103224725344</v>
      </c>
      <c r="J153" s="1">
        <v>1.2898640229476843</v>
      </c>
      <c r="K153" s="1">
        <v>508985.34400000033</v>
      </c>
      <c r="L153" s="1">
        <v>394603.87679999997</v>
      </c>
      <c r="M153">
        <v>1185</v>
      </c>
      <c r="N153" s="6">
        <v>0</v>
      </c>
    </row>
    <row r="154" spans="1:14" x14ac:dyDescent="0.25">
      <c r="A154" s="1">
        <v>175</v>
      </c>
      <c r="B154" s="1">
        <v>175</v>
      </c>
      <c r="C154" s="1">
        <v>3.2</v>
      </c>
      <c r="D154" s="1">
        <v>525</v>
      </c>
      <c r="E154" s="1">
        <v>313.60000000000002</v>
      </c>
      <c r="F154" s="1">
        <v>25.83</v>
      </c>
      <c r="G154" s="1">
        <f t="shared" si="5"/>
        <v>3</v>
      </c>
      <c r="H154" s="1">
        <f t="shared" si="6"/>
        <v>54.6875</v>
      </c>
      <c r="I154" s="1">
        <v>7.7360272089315577E-2</v>
      </c>
      <c r="J154" s="1">
        <v>0.93922498363179907</v>
      </c>
      <c r="K154" s="1">
        <v>689618.94400000037</v>
      </c>
      <c r="L154" s="1">
        <v>734242.54679999989</v>
      </c>
      <c r="M154">
        <v>1660</v>
      </c>
      <c r="N154" s="6">
        <v>0</v>
      </c>
    </row>
    <row r="155" spans="1:14" x14ac:dyDescent="0.25">
      <c r="A155" s="1">
        <v>220</v>
      </c>
      <c r="B155" s="1">
        <v>220</v>
      </c>
      <c r="C155" s="1">
        <v>3</v>
      </c>
      <c r="D155" s="1">
        <v>660</v>
      </c>
      <c r="E155" s="1">
        <v>313.60000000000002</v>
      </c>
      <c r="F155" s="1">
        <v>25.83</v>
      </c>
      <c r="G155" s="1">
        <f t="shared" si="5"/>
        <v>3</v>
      </c>
      <c r="H155" s="1">
        <f t="shared" si="6"/>
        <v>73.333333333333329</v>
      </c>
      <c r="I155" s="1">
        <v>5.6860861210586075E-2</v>
      </c>
      <c r="J155" s="1">
        <v>0.6903432472179557</v>
      </c>
      <c r="K155" s="1">
        <v>816614.40000000002</v>
      </c>
      <c r="L155" s="1">
        <v>1182910.68</v>
      </c>
      <c r="M155">
        <v>2460</v>
      </c>
      <c r="N155" s="6">
        <v>0</v>
      </c>
    </row>
    <row r="156" spans="1:14" x14ac:dyDescent="0.25">
      <c r="A156" s="8">
        <v>126</v>
      </c>
      <c r="B156" s="8">
        <v>126</v>
      </c>
      <c r="C156" s="8">
        <v>3</v>
      </c>
      <c r="D156" s="8">
        <v>360</v>
      </c>
      <c r="E156" s="8">
        <v>300</v>
      </c>
      <c r="F156" s="1">
        <v>43.75</v>
      </c>
      <c r="G156" s="1">
        <f t="shared" si="5"/>
        <v>2.8571428571428572</v>
      </c>
      <c r="H156" s="1">
        <f t="shared" si="6"/>
        <v>42</v>
      </c>
      <c r="I156" s="1">
        <v>0.10249999999999999</v>
      </c>
      <c r="J156" s="1">
        <v>0.70285714285714285</v>
      </c>
      <c r="K156" s="1">
        <v>442800</v>
      </c>
      <c r="L156" s="1">
        <v>630000</v>
      </c>
      <c r="M156">
        <v>1114</v>
      </c>
      <c r="N156" s="6">
        <v>0</v>
      </c>
    </row>
    <row r="157" spans="1:14" x14ac:dyDescent="0.25">
      <c r="A157" s="8">
        <v>156</v>
      </c>
      <c r="B157" s="8">
        <v>156</v>
      </c>
      <c r="C157" s="8">
        <v>3</v>
      </c>
      <c r="D157" s="8">
        <v>450</v>
      </c>
      <c r="E157" s="8">
        <v>300</v>
      </c>
      <c r="F157" s="1">
        <v>43.75</v>
      </c>
      <c r="G157" s="1">
        <f t="shared" si="5"/>
        <v>2.8846153846153846</v>
      </c>
      <c r="H157" s="1">
        <f t="shared" si="6"/>
        <v>52</v>
      </c>
      <c r="I157" s="1">
        <v>8.1600000000000006E-2</v>
      </c>
      <c r="J157" s="1">
        <v>0.55954285714285712</v>
      </c>
      <c r="K157" s="1">
        <v>550800</v>
      </c>
      <c r="L157" s="1">
        <v>984375</v>
      </c>
      <c r="M157">
        <v>1708</v>
      </c>
      <c r="N157" s="6">
        <v>0</v>
      </c>
    </row>
    <row r="158" spans="1:14" x14ac:dyDescent="0.25">
      <c r="A158" s="8">
        <v>186</v>
      </c>
      <c r="B158" s="8">
        <v>186</v>
      </c>
      <c r="C158" s="8">
        <v>3</v>
      </c>
      <c r="D158" s="8">
        <v>540</v>
      </c>
      <c r="E158" s="8">
        <v>300</v>
      </c>
      <c r="F158" s="1">
        <v>27.999999999999996</v>
      </c>
      <c r="G158" s="1">
        <f t="shared" si="5"/>
        <v>2.903225806451613</v>
      </c>
      <c r="H158" s="1">
        <f t="shared" si="6"/>
        <v>62</v>
      </c>
      <c r="I158" s="1">
        <v>6.7777777777777784E-2</v>
      </c>
      <c r="J158" s="1">
        <v>0.72619047619047628</v>
      </c>
      <c r="K158" s="1">
        <v>658800</v>
      </c>
      <c r="L158" s="1">
        <v>907199.99999999988</v>
      </c>
      <c r="M158">
        <v>1555</v>
      </c>
      <c r="N158" s="6">
        <v>0</v>
      </c>
    </row>
    <row r="159" spans="1:14" x14ac:dyDescent="0.25">
      <c r="A159" s="8">
        <v>246</v>
      </c>
      <c r="B159" s="8">
        <v>246</v>
      </c>
      <c r="C159" s="8">
        <v>3</v>
      </c>
      <c r="D159" s="8">
        <v>720</v>
      </c>
      <c r="E159" s="8">
        <v>300</v>
      </c>
      <c r="F159" s="1">
        <v>33.249999999999993</v>
      </c>
      <c r="G159" s="1">
        <f t="shared" si="5"/>
        <v>2.9268292682926829</v>
      </c>
      <c r="H159" s="1">
        <f t="shared" si="6"/>
        <v>82</v>
      </c>
      <c r="I159" s="1">
        <v>5.0625000000000003E-2</v>
      </c>
      <c r="J159" s="1">
        <v>0.45676691729323321</v>
      </c>
      <c r="K159" s="1">
        <v>874800</v>
      </c>
      <c r="L159" s="1">
        <v>1915199.9999999995</v>
      </c>
      <c r="M159">
        <v>3095</v>
      </c>
      <c r="N159" s="6">
        <v>0</v>
      </c>
    </row>
    <row r="160" spans="1:14" x14ac:dyDescent="0.25">
      <c r="A160" s="8">
        <v>306</v>
      </c>
      <c r="B160" s="8">
        <v>306</v>
      </c>
      <c r="C160" s="8">
        <v>3</v>
      </c>
      <c r="D160" s="8">
        <v>900</v>
      </c>
      <c r="E160" s="8">
        <v>300</v>
      </c>
      <c r="F160" s="1">
        <v>33.249999999999993</v>
      </c>
      <c r="G160" s="1">
        <f t="shared" si="5"/>
        <v>2.9411764705882355</v>
      </c>
      <c r="H160" s="1">
        <f t="shared" si="6"/>
        <v>102</v>
      </c>
      <c r="I160" s="1">
        <v>4.0399999999999998E-2</v>
      </c>
      <c r="J160" s="1">
        <v>0.36451127819548879</v>
      </c>
      <c r="K160" s="1">
        <v>1090800</v>
      </c>
      <c r="L160" s="1">
        <v>2992499.9999999995</v>
      </c>
      <c r="M160">
        <v>4000</v>
      </c>
      <c r="N160" s="6">
        <v>0</v>
      </c>
    </row>
    <row r="161" spans="1:14" x14ac:dyDescent="0.25">
      <c r="A161" s="8">
        <v>306</v>
      </c>
      <c r="B161" s="8">
        <v>306</v>
      </c>
      <c r="C161" s="8">
        <v>3</v>
      </c>
      <c r="D161" s="8">
        <v>900</v>
      </c>
      <c r="E161" s="8">
        <v>300</v>
      </c>
      <c r="F161" s="1">
        <v>33.249999999999993</v>
      </c>
      <c r="G161" s="1">
        <f t="shared" si="5"/>
        <v>2.9411764705882355</v>
      </c>
      <c r="H161" s="1">
        <f t="shared" si="6"/>
        <v>102</v>
      </c>
      <c r="I161" s="1">
        <v>4.0399999999999998E-2</v>
      </c>
      <c r="J161" s="1">
        <v>0.36451127819548879</v>
      </c>
      <c r="K161" s="1">
        <v>1090800</v>
      </c>
      <c r="L161" s="1">
        <v>2992499.9999999995</v>
      </c>
      <c r="M161">
        <v>4253</v>
      </c>
      <c r="N161" s="6">
        <v>0</v>
      </c>
    </row>
    <row r="162" spans="1:14" x14ac:dyDescent="0.25">
      <c r="A162" s="8">
        <v>306</v>
      </c>
      <c r="B162" s="8">
        <v>306</v>
      </c>
      <c r="C162" s="8">
        <v>3</v>
      </c>
      <c r="D162" s="8">
        <v>900</v>
      </c>
      <c r="E162" s="8">
        <v>300</v>
      </c>
      <c r="F162" s="1">
        <v>33.249999999999993</v>
      </c>
      <c r="G162" s="1">
        <f t="shared" si="5"/>
        <v>2.9411764705882355</v>
      </c>
      <c r="H162" s="1">
        <f t="shared" si="6"/>
        <v>102</v>
      </c>
      <c r="I162" s="1">
        <v>4.0399999999999998E-2</v>
      </c>
      <c r="J162" s="1">
        <v>0.36451127819548879</v>
      </c>
      <c r="K162" s="1">
        <v>1090800</v>
      </c>
      <c r="L162" s="1">
        <v>2992499.9999999995</v>
      </c>
      <c r="M162">
        <v>4495</v>
      </c>
      <c r="N162" s="6">
        <v>0</v>
      </c>
    </row>
    <row r="163" spans="1:14" x14ac:dyDescent="0.25">
      <c r="A163" s="8">
        <v>306</v>
      </c>
      <c r="B163" s="8">
        <v>306</v>
      </c>
      <c r="C163" s="8">
        <v>3</v>
      </c>
      <c r="D163" s="8">
        <v>900</v>
      </c>
      <c r="E163" s="8">
        <v>300</v>
      </c>
      <c r="F163" s="1">
        <v>33.249999999999993</v>
      </c>
      <c r="G163" s="1">
        <f t="shared" si="5"/>
        <v>2.9411764705882355</v>
      </c>
      <c r="H163" s="1">
        <f t="shared" si="6"/>
        <v>102</v>
      </c>
      <c r="I163" s="1">
        <v>4.0399999999999998E-2</v>
      </c>
      <c r="J163" s="1">
        <v>0.36451127819548879</v>
      </c>
      <c r="K163" s="1">
        <v>1090800</v>
      </c>
      <c r="L163" s="1">
        <v>2992499.9999999995</v>
      </c>
      <c r="M163">
        <v>4581</v>
      </c>
      <c r="N163" s="6">
        <v>0</v>
      </c>
    </row>
    <row r="164" spans="1:14" x14ac:dyDescent="0.25">
      <c r="A164" s="9">
        <v>60</v>
      </c>
      <c r="B164" s="9">
        <v>60</v>
      </c>
      <c r="C164" s="9">
        <v>1.87</v>
      </c>
      <c r="D164" s="9">
        <f>A164*3</f>
        <v>180</v>
      </c>
      <c r="E164" s="9">
        <v>282</v>
      </c>
      <c r="F164" s="1">
        <v>56.699999999999996</v>
      </c>
      <c r="G164" s="1">
        <f t="shared" si="5"/>
        <v>3</v>
      </c>
      <c r="H164" s="1">
        <f t="shared" si="6"/>
        <v>32.085561497326204</v>
      </c>
      <c r="I164" s="1">
        <v>0.13737334242052518</v>
      </c>
      <c r="J164" s="1">
        <v>0.68323249669467556</v>
      </c>
      <c r="K164" s="1">
        <v>122617.09680000007</v>
      </c>
      <c r="L164" s="1">
        <v>179466.13691999996</v>
      </c>
      <c r="M164">
        <v>382</v>
      </c>
      <c r="N164" s="6">
        <v>0</v>
      </c>
    </row>
    <row r="165" spans="1:14" x14ac:dyDescent="0.25">
      <c r="A165" s="9">
        <v>60</v>
      </c>
      <c r="B165" s="9">
        <v>60</v>
      </c>
      <c r="C165" s="9">
        <v>1.87</v>
      </c>
      <c r="D165" s="9">
        <f t="shared" ref="D165:D187" si="9">A165*3</f>
        <v>180</v>
      </c>
      <c r="E165" s="9">
        <v>282</v>
      </c>
      <c r="F165" s="1">
        <v>56.699999999999996</v>
      </c>
      <c r="G165" s="1">
        <f t="shared" si="5"/>
        <v>3</v>
      </c>
      <c r="H165" s="1">
        <f t="shared" si="6"/>
        <v>32.085561497326204</v>
      </c>
      <c r="I165" s="1">
        <v>0.13737334242052518</v>
      </c>
      <c r="J165" s="1">
        <v>0.68323249669467556</v>
      </c>
      <c r="K165" s="1">
        <v>122617.09680000007</v>
      </c>
      <c r="L165" s="1">
        <v>179466.13691999996</v>
      </c>
      <c r="M165">
        <v>350</v>
      </c>
      <c r="N165" s="6">
        <v>0</v>
      </c>
    </row>
    <row r="166" spans="1:14" x14ac:dyDescent="0.25">
      <c r="A166" s="9">
        <v>100</v>
      </c>
      <c r="B166" s="9">
        <v>100</v>
      </c>
      <c r="C166" s="9">
        <v>1.87</v>
      </c>
      <c r="D166" s="9">
        <f t="shared" si="9"/>
        <v>300</v>
      </c>
      <c r="E166" s="9">
        <v>282</v>
      </c>
      <c r="F166" s="1">
        <v>56.699999999999996</v>
      </c>
      <c r="G166" s="1">
        <f t="shared" si="5"/>
        <v>3</v>
      </c>
      <c r="H166" s="1">
        <f t="shared" si="6"/>
        <v>53.475935828876999</v>
      </c>
      <c r="I166" s="1">
        <v>7.9215776200693339E-2</v>
      </c>
      <c r="J166" s="1">
        <v>0.39398322554842197</v>
      </c>
      <c r="K166" s="1">
        <v>206991.49679999991</v>
      </c>
      <c r="L166" s="1">
        <v>525381.49691999995</v>
      </c>
      <c r="M166">
        <v>860</v>
      </c>
      <c r="N166" s="6">
        <v>0</v>
      </c>
    </row>
    <row r="167" spans="1:14" x14ac:dyDescent="0.25">
      <c r="A167" s="9">
        <v>100</v>
      </c>
      <c r="B167" s="9">
        <v>100</v>
      </c>
      <c r="C167" s="9">
        <v>1.87</v>
      </c>
      <c r="D167" s="9">
        <f t="shared" si="9"/>
        <v>300</v>
      </c>
      <c r="E167" s="9">
        <v>282</v>
      </c>
      <c r="F167" s="1">
        <v>56.699999999999996</v>
      </c>
      <c r="G167" s="1">
        <f t="shared" si="5"/>
        <v>3</v>
      </c>
      <c r="H167" s="1">
        <f t="shared" si="6"/>
        <v>53.475935828876999</v>
      </c>
      <c r="I167" s="1">
        <v>7.9215776200693339E-2</v>
      </c>
      <c r="J167" s="1">
        <v>0.39398322554842197</v>
      </c>
      <c r="K167" s="1">
        <v>206991.49679999991</v>
      </c>
      <c r="L167" s="1">
        <v>525381.49691999995</v>
      </c>
      <c r="M167">
        <v>840</v>
      </c>
      <c r="N167" s="6">
        <v>0</v>
      </c>
    </row>
    <row r="168" spans="1:14" x14ac:dyDescent="0.25">
      <c r="A168" s="9">
        <v>150</v>
      </c>
      <c r="B168" s="9">
        <v>150</v>
      </c>
      <c r="C168" s="9">
        <v>1.87</v>
      </c>
      <c r="D168" s="9">
        <f t="shared" si="9"/>
        <v>450</v>
      </c>
      <c r="E168" s="9">
        <v>282</v>
      </c>
      <c r="F168" s="1">
        <v>56.699999999999996</v>
      </c>
      <c r="G168" s="1">
        <f t="shared" si="5"/>
        <v>3</v>
      </c>
      <c r="H168" s="1">
        <f t="shared" si="6"/>
        <v>80.213903743315498</v>
      </c>
      <c r="I168" s="1">
        <v>5.1795673254784583E-2</v>
      </c>
      <c r="J168" s="1">
        <v>0.25760811036771164</v>
      </c>
      <c r="K168" s="1">
        <v>312459.4968000009</v>
      </c>
      <c r="L168" s="1">
        <v>1212925.6969199998</v>
      </c>
      <c r="M168">
        <v>1662</v>
      </c>
      <c r="N168" s="6">
        <v>0</v>
      </c>
    </row>
    <row r="169" spans="1:14" x14ac:dyDescent="0.25">
      <c r="A169" s="9">
        <v>150</v>
      </c>
      <c r="B169" s="9">
        <v>150</v>
      </c>
      <c r="C169" s="9">
        <v>1.87</v>
      </c>
      <c r="D169" s="9">
        <f t="shared" si="9"/>
        <v>450</v>
      </c>
      <c r="E169" s="9">
        <v>282</v>
      </c>
      <c r="F169" s="1">
        <v>56.699999999999996</v>
      </c>
      <c r="G169" s="1">
        <f t="shared" si="5"/>
        <v>3</v>
      </c>
      <c r="H169" s="1">
        <f t="shared" si="6"/>
        <v>80.213903743315498</v>
      </c>
      <c r="I169" s="1">
        <v>5.1795673254784583E-2</v>
      </c>
      <c r="J169" s="1">
        <v>0.25760811036771164</v>
      </c>
      <c r="K169" s="1">
        <v>312459.4968000009</v>
      </c>
      <c r="L169" s="1">
        <v>1212925.6969199998</v>
      </c>
      <c r="M169">
        <v>1740</v>
      </c>
      <c r="N169" s="6">
        <v>0</v>
      </c>
    </row>
    <row r="170" spans="1:14" x14ac:dyDescent="0.25">
      <c r="A170" s="9">
        <v>200</v>
      </c>
      <c r="B170" s="9">
        <v>200</v>
      </c>
      <c r="C170" s="9">
        <v>1.87</v>
      </c>
      <c r="D170" s="9">
        <f t="shared" si="9"/>
        <v>600</v>
      </c>
      <c r="E170" s="9">
        <v>282</v>
      </c>
      <c r="F170" s="1">
        <v>56.699999999999996</v>
      </c>
      <c r="G170" s="1">
        <f t="shared" si="5"/>
        <v>3</v>
      </c>
      <c r="H170" s="1">
        <f t="shared" si="6"/>
        <v>106.951871657754</v>
      </c>
      <c r="I170" s="1">
        <v>3.8475852253506804E-2</v>
      </c>
      <c r="J170" s="1">
        <v>0.19136138157828783</v>
      </c>
      <c r="K170" s="1">
        <v>417927.49680000194</v>
      </c>
      <c r="L170" s="1">
        <v>2183969.8969199993</v>
      </c>
      <c r="M170">
        <v>2890</v>
      </c>
      <c r="N170" s="6">
        <v>0</v>
      </c>
    </row>
    <row r="171" spans="1:14" x14ac:dyDescent="0.25">
      <c r="A171" s="9">
        <v>200</v>
      </c>
      <c r="B171" s="9">
        <v>200</v>
      </c>
      <c r="C171" s="9">
        <v>1.87</v>
      </c>
      <c r="D171" s="9">
        <f t="shared" si="9"/>
        <v>600</v>
      </c>
      <c r="E171" s="9">
        <v>282</v>
      </c>
      <c r="F171" s="1">
        <v>56.699999999999996</v>
      </c>
      <c r="G171" s="1">
        <f t="shared" si="5"/>
        <v>3</v>
      </c>
      <c r="H171" s="1">
        <f t="shared" si="6"/>
        <v>106.951871657754</v>
      </c>
      <c r="I171" s="1">
        <v>3.8475852253506804E-2</v>
      </c>
      <c r="J171" s="1">
        <v>0.19136138157828783</v>
      </c>
      <c r="K171" s="1">
        <v>417927.49680000194</v>
      </c>
      <c r="L171" s="1">
        <v>2183969.8969199993</v>
      </c>
      <c r="M171">
        <v>2920</v>
      </c>
      <c r="N171" s="6">
        <v>0</v>
      </c>
    </row>
    <row r="172" spans="1:14" x14ac:dyDescent="0.25">
      <c r="A172" s="9">
        <v>250</v>
      </c>
      <c r="B172" s="9">
        <v>250</v>
      </c>
      <c r="C172" s="9">
        <v>1.87</v>
      </c>
      <c r="D172" s="9">
        <f t="shared" si="9"/>
        <v>750</v>
      </c>
      <c r="E172" s="9">
        <v>282</v>
      </c>
      <c r="F172" s="1">
        <v>42</v>
      </c>
      <c r="G172" s="1">
        <f t="shared" si="5"/>
        <v>3</v>
      </c>
      <c r="H172" s="1">
        <f t="shared" si="6"/>
        <v>133.68983957219251</v>
      </c>
      <c r="I172" s="1">
        <v>3.0605052099179689E-2</v>
      </c>
      <c r="J172" s="1">
        <v>0.20549106409449219</v>
      </c>
      <c r="K172" s="1">
        <v>523395.49680000194</v>
      </c>
      <c r="L172" s="1">
        <v>2547047.4791999999</v>
      </c>
      <c r="M172">
        <v>3304</v>
      </c>
      <c r="N172" s="6">
        <v>0</v>
      </c>
    </row>
    <row r="173" spans="1:14" x14ac:dyDescent="0.25">
      <c r="A173" s="9">
        <v>250</v>
      </c>
      <c r="B173" s="9">
        <v>250</v>
      </c>
      <c r="C173" s="9">
        <v>1.87</v>
      </c>
      <c r="D173" s="9">
        <f t="shared" si="9"/>
        <v>750</v>
      </c>
      <c r="E173" s="9">
        <v>282</v>
      </c>
      <c r="F173" s="1">
        <v>42</v>
      </c>
      <c r="G173" s="1">
        <f t="shared" si="5"/>
        <v>3</v>
      </c>
      <c r="H173" s="1">
        <f t="shared" si="6"/>
        <v>133.68983957219251</v>
      </c>
      <c r="I173" s="1">
        <v>3.0605052099179689E-2</v>
      </c>
      <c r="J173" s="1">
        <v>0.20549106409449219</v>
      </c>
      <c r="K173" s="1">
        <v>523395.49680000194</v>
      </c>
      <c r="L173" s="1">
        <v>2547047.4791999999</v>
      </c>
      <c r="M173">
        <v>3400</v>
      </c>
      <c r="N173" s="6">
        <v>0</v>
      </c>
    </row>
    <row r="174" spans="1:14" x14ac:dyDescent="0.25">
      <c r="A174" s="9">
        <v>60</v>
      </c>
      <c r="B174" s="9">
        <v>60</v>
      </c>
      <c r="C174" s="9">
        <v>2</v>
      </c>
      <c r="D174" s="9">
        <f t="shared" si="9"/>
        <v>180</v>
      </c>
      <c r="E174" s="9">
        <v>404</v>
      </c>
      <c r="F174" s="1">
        <v>35.629999999999995</v>
      </c>
      <c r="G174" s="1">
        <f t="shared" si="5"/>
        <v>3</v>
      </c>
      <c r="H174" s="1">
        <f t="shared" si="6"/>
        <v>30</v>
      </c>
      <c r="I174" s="1">
        <v>0.14795918367346939</v>
      </c>
      <c r="J174" s="1">
        <v>1.6776735953994284</v>
      </c>
      <c r="K174" s="1">
        <v>187456</v>
      </c>
      <c r="L174" s="1">
        <v>111735.67999999999</v>
      </c>
      <c r="M174">
        <v>318</v>
      </c>
      <c r="N174" s="6">
        <v>0</v>
      </c>
    </row>
    <row r="175" spans="1:14" x14ac:dyDescent="0.25">
      <c r="A175" s="9">
        <v>60</v>
      </c>
      <c r="B175" s="9">
        <v>60</v>
      </c>
      <c r="C175" s="9">
        <v>2</v>
      </c>
      <c r="D175" s="9">
        <f t="shared" si="9"/>
        <v>180</v>
      </c>
      <c r="E175" s="9">
        <v>404</v>
      </c>
      <c r="F175" s="1">
        <v>35.629999999999995</v>
      </c>
      <c r="G175" s="1">
        <f t="shared" si="5"/>
        <v>3</v>
      </c>
      <c r="H175" s="1">
        <f t="shared" si="6"/>
        <v>30</v>
      </c>
      <c r="I175" s="1">
        <v>0.14795918367346939</v>
      </c>
      <c r="J175" s="1">
        <v>1.6776735953994284</v>
      </c>
      <c r="K175" s="1">
        <v>187456</v>
      </c>
      <c r="L175" s="1">
        <v>111735.67999999999</v>
      </c>
      <c r="M175">
        <v>322</v>
      </c>
      <c r="N175" s="6">
        <v>0</v>
      </c>
    </row>
    <row r="176" spans="1:14" x14ac:dyDescent="0.25">
      <c r="A176" s="9">
        <v>100</v>
      </c>
      <c r="B176" s="9">
        <v>100</v>
      </c>
      <c r="C176" s="9">
        <v>2</v>
      </c>
      <c r="D176" s="9">
        <f t="shared" si="9"/>
        <v>300</v>
      </c>
      <c r="E176" s="9">
        <v>404</v>
      </c>
      <c r="F176" s="1">
        <v>35.629999999999995</v>
      </c>
      <c r="G176" s="1">
        <f t="shared" si="5"/>
        <v>3</v>
      </c>
      <c r="H176" s="1">
        <f t="shared" si="6"/>
        <v>50</v>
      </c>
      <c r="I176" s="1">
        <v>8.5069444444444448E-2</v>
      </c>
      <c r="J176" s="1">
        <v>0.96458196900240134</v>
      </c>
      <c r="K176" s="1">
        <v>316736</v>
      </c>
      <c r="L176" s="1">
        <v>328366.07999999996</v>
      </c>
      <c r="M176">
        <v>770</v>
      </c>
      <c r="N176" s="6">
        <v>0</v>
      </c>
    </row>
    <row r="177" spans="1:14" x14ac:dyDescent="0.25">
      <c r="A177" s="9">
        <v>100</v>
      </c>
      <c r="B177" s="9">
        <v>100</v>
      </c>
      <c r="C177" s="9">
        <v>2</v>
      </c>
      <c r="D177" s="9">
        <f t="shared" si="9"/>
        <v>300</v>
      </c>
      <c r="E177" s="9">
        <v>404</v>
      </c>
      <c r="F177" s="1">
        <v>35.629999999999995</v>
      </c>
      <c r="G177" s="1">
        <f t="shared" si="5"/>
        <v>3</v>
      </c>
      <c r="H177" s="1">
        <f t="shared" si="6"/>
        <v>50</v>
      </c>
      <c r="I177" s="1">
        <v>8.5069444444444448E-2</v>
      </c>
      <c r="J177" s="1">
        <v>0.96458196900240134</v>
      </c>
      <c r="K177" s="1">
        <v>316736</v>
      </c>
      <c r="L177" s="1">
        <v>328366.07999999996</v>
      </c>
      <c r="M177">
        <v>772</v>
      </c>
      <c r="N177" s="6">
        <v>0</v>
      </c>
    </row>
    <row r="178" spans="1:14" x14ac:dyDescent="0.25">
      <c r="A178" s="9">
        <v>150</v>
      </c>
      <c r="B178" s="9">
        <v>150</v>
      </c>
      <c r="C178" s="9">
        <v>2</v>
      </c>
      <c r="D178" s="9">
        <f t="shared" si="9"/>
        <v>450</v>
      </c>
      <c r="E178" s="9">
        <v>404</v>
      </c>
      <c r="F178" s="1">
        <v>35.629999999999995</v>
      </c>
      <c r="G178" s="1">
        <f t="shared" si="5"/>
        <v>3</v>
      </c>
      <c r="H178" s="1">
        <f t="shared" si="6"/>
        <v>75</v>
      </c>
      <c r="I178" s="1">
        <v>5.5545130418465004E-2</v>
      </c>
      <c r="J178" s="1">
        <v>0.6298128736755505</v>
      </c>
      <c r="K178" s="1">
        <v>478336</v>
      </c>
      <c r="L178" s="1">
        <v>759489.08</v>
      </c>
      <c r="M178">
        <v>1300</v>
      </c>
      <c r="N178" s="6">
        <v>0</v>
      </c>
    </row>
    <row r="179" spans="1:14" x14ac:dyDescent="0.25">
      <c r="A179" s="9">
        <v>150</v>
      </c>
      <c r="B179" s="9">
        <v>150</v>
      </c>
      <c r="C179" s="9">
        <v>2</v>
      </c>
      <c r="D179" s="9">
        <f t="shared" si="9"/>
        <v>450</v>
      </c>
      <c r="E179" s="9">
        <v>404</v>
      </c>
      <c r="F179" s="1">
        <v>35.629999999999995</v>
      </c>
      <c r="G179" s="1">
        <f t="shared" si="5"/>
        <v>3</v>
      </c>
      <c r="H179" s="1">
        <f t="shared" si="6"/>
        <v>75</v>
      </c>
      <c r="I179" s="1">
        <v>5.5545130418465004E-2</v>
      </c>
      <c r="J179" s="1">
        <v>0.6298128736755505</v>
      </c>
      <c r="K179" s="1">
        <v>478336</v>
      </c>
      <c r="L179" s="1">
        <v>759489.08</v>
      </c>
      <c r="M179">
        <v>1420</v>
      </c>
      <c r="N179" s="6">
        <v>0</v>
      </c>
    </row>
    <row r="180" spans="1:14" x14ac:dyDescent="0.25">
      <c r="A180" s="9">
        <v>200</v>
      </c>
      <c r="B180" s="9">
        <v>200</v>
      </c>
      <c r="C180" s="9">
        <v>2</v>
      </c>
      <c r="D180" s="9">
        <f t="shared" si="9"/>
        <v>600</v>
      </c>
      <c r="E180" s="9">
        <v>404</v>
      </c>
      <c r="F180" s="1">
        <v>35.629999999999995</v>
      </c>
      <c r="G180" s="1">
        <f t="shared" si="5"/>
        <v>3</v>
      </c>
      <c r="H180" s="1">
        <f t="shared" si="6"/>
        <v>100</v>
      </c>
      <c r="I180" s="1">
        <v>4.1232819658475632E-2</v>
      </c>
      <c r="J180" s="1">
        <v>0.46752902447443612</v>
      </c>
      <c r="K180" s="1">
        <v>639936</v>
      </c>
      <c r="L180" s="1">
        <v>1368762.0799999998</v>
      </c>
      <c r="M180">
        <v>1990</v>
      </c>
      <c r="N180" s="6">
        <v>0</v>
      </c>
    </row>
    <row r="181" spans="1:14" x14ac:dyDescent="0.25">
      <c r="A181" s="9">
        <v>200</v>
      </c>
      <c r="B181" s="9">
        <v>200</v>
      </c>
      <c r="C181" s="9">
        <v>2</v>
      </c>
      <c r="D181" s="9">
        <f t="shared" si="9"/>
        <v>600</v>
      </c>
      <c r="E181" s="9">
        <v>404</v>
      </c>
      <c r="F181" s="1">
        <v>35.629999999999995</v>
      </c>
      <c r="G181" s="1">
        <f t="shared" si="5"/>
        <v>3</v>
      </c>
      <c r="H181" s="1">
        <f t="shared" si="6"/>
        <v>100</v>
      </c>
      <c r="I181" s="1">
        <v>4.1232819658475632E-2</v>
      </c>
      <c r="J181" s="1">
        <v>0.46752902447443612</v>
      </c>
      <c r="K181" s="1">
        <v>639936</v>
      </c>
      <c r="L181" s="1">
        <v>1368762.0799999998</v>
      </c>
      <c r="M181">
        <v>2054</v>
      </c>
      <c r="N181" s="6">
        <v>0</v>
      </c>
    </row>
    <row r="182" spans="1:14" x14ac:dyDescent="0.25">
      <c r="A182" s="9">
        <v>250</v>
      </c>
      <c r="B182" s="9">
        <v>250</v>
      </c>
      <c r="C182" s="9">
        <v>2</v>
      </c>
      <c r="D182" s="9">
        <f t="shared" si="9"/>
        <v>750</v>
      </c>
      <c r="E182" s="9">
        <v>404</v>
      </c>
      <c r="F182" s="1">
        <v>35.629999999999995</v>
      </c>
      <c r="G182" s="1">
        <f t="shared" si="5"/>
        <v>3</v>
      </c>
      <c r="H182" s="1">
        <f t="shared" si="6"/>
        <v>125</v>
      </c>
      <c r="I182" s="1">
        <v>3.2784718091083347E-2</v>
      </c>
      <c r="J182" s="1">
        <v>0.37173803280375178</v>
      </c>
      <c r="K182" s="1">
        <v>801536</v>
      </c>
      <c r="L182" s="1">
        <v>2156185.0799999996</v>
      </c>
      <c r="M182">
        <v>3100</v>
      </c>
      <c r="N182" s="6">
        <v>0</v>
      </c>
    </row>
    <row r="183" spans="1:14" x14ac:dyDescent="0.25">
      <c r="A183" s="9">
        <v>250</v>
      </c>
      <c r="B183" s="9">
        <v>250</v>
      </c>
      <c r="C183" s="9">
        <v>2</v>
      </c>
      <c r="D183" s="9">
        <f t="shared" si="9"/>
        <v>750</v>
      </c>
      <c r="E183" s="9">
        <v>404</v>
      </c>
      <c r="F183" s="1">
        <v>35.629999999999995</v>
      </c>
      <c r="G183" s="1">
        <f t="shared" si="5"/>
        <v>3</v>
      </c>
      <c r="H183" s="1">
        <f t="shared" si="6"/>
        <v>125</v>
      </c>
      <c r="I183" s="1">
        <v>3.2784718091083347E-2</v>
      </c>
      <c r="J183" s="1">
        <v>0.37173803280375178</v>
      </c>
      <c r="K183" s="1">
        <v>801536</v>
      </c>
      <c r="L183" s="1">
        <v>2156185.0799999996</v>
      </c>
      <c r="M183">
        <v>2965</v>
      </c>
      <c r="N183" s="6">
        <v>0</v>
      </c>
    </row>
    <row r="184" spans="1:14" x14ac:dyDescent="0.25">
      <c r="A184" s="9">
        <v>60</v>
      </c>
      <c r="B184" s="9">
        <v>60</v>
      </c>
      <c r="C184" s="9">
        <v>2</v>
      </c>
      <c r="D184" s="9">
        <f t="shared" si="9"/>
        <v>180</v>
      </c>
      <c r="E184" s="9">
        <v>404</v>
      </c>
      <c r="F184" s="1">
        <v>56.699999999999996</v>
      </c>
      <c r="G184" s="1">
        <f t="shared" si="5"/>
        <v>3</v>
      </c>
      <c r="H184" s="1">
        <f t="shared" si="6"/>
        <v>30</v>
      </c>
      <c r="I184" s="1">
        <v>0.14795918367346939</v>
      </c>
      <c r="J184" s="1">
        <v>1.0542418025411224</v>
      </c>
      <c r="K184" s="1">
        <v>187456</v>
      </c>
      <c r="L184" s="1">
        <v>177811.19999999998</v>
      </c>
      <c r="M184">
        <v>422</v>
      </c>
      <c r="N184" s="6">
        <v>0</v>
      </c>
    </row>
    <row r="185" spans="1:14" x14ac:dyDescent="0.25">
      <c r="A185" s="9">
        <v>60</v>
      </c>
      <c r="B185" s="9">
        <v>60</v>
      </c>
      <c r="C185" s="9">
        <v>2</v>
      </c>
      <c r="D185" s="9">
        <f t="shared" si="9"/>
        <v>180</v>
      </c>
      <c r="E185" s="9">
        <v>404</v>
      </c>
      <c r="F185" s="1">
        <v>56.699999999999996</v>
      </c>
      <c r="G185" s="1">
        <f t="shared" si="5"/>
        <v>3</v>
      </c>
      <c r="H185" s="1">
        <f t="shared" si="6"/>
        <v>30</v>
      </c>
      <c r="I185" s="1">
        <v>0.14795918367346939</v>
      </c>
      <c r="J185" s="1">
        <v>1.0542418025411224</v>
      </c>
      <c r="K185" s="1">
        <v>187456</v>
      </c>
      <c r="L185" s="1">
        <v>177811.19999999998</v>
      </c>
      <c r="M185">
        <v>406</v>
      </c>
      <c r="N185" s="6">
        <v>0</v>
      </c>
    </row>
    <row r="186" spans="1:14" x14ac:dyDescent="0.25">
      <c r="A186" s="9">
        <v>150</v>
      </c>
      <c r="B186" s="9">
        <v>150</v>
      </c>
      <c r="C186" s="9">
        <v>2</v>
      </c>
      <c r="D186" s="9">
        <f t="shared" si="9"/>
        <v>450</v>
      </c>
      <c r="E186" s="9">
        <v>404</v>
      </c>
      <c r="F186" s="1">
        <v>56.699999999999996</v>
      </c>
      <c r="G186" s="1">
        <f t="shared" si="5"/>
        <v>3</v>
      </c>
      <c r="H186" s="1">
        <f t="shared" si="6"/>
        <v>75</v>
      </c>
      <c r="I186" s="1">
        <v>5.5545130418465004E-2</v>
      </c>
      <c r="J186" s="1">
        <v>0.39577129963068541</v>
      </c>
      <c r="K186" s="1">
        <v>478336</v>
      </c>
      <c r="L186" s="1">
        <v>1208617.2</v>
      </c>
      <c r="M186">
        <v>2060</v>
      </c>
      <c r="N186" s="6">
        <v>0</v>
      </c>
    </row>
    <row r="187" spans="1:14" x14ac:dyDescent="0.25">
      <c r="A187" s="9">
        <v>150</v>
      </c>
      <c r="B187" s="9">
        <v>150</v>
      </c>
      <c r="C187" s="9">
        <v>2</v>
      </c>
      <c r="D187" s="9">
        <f t="shared" si="9"/>
        <v>450</v>
      </c>
      <c r="E187" s="9">
        <v>404</v>
      </c>
      <c r="F187" s="1">
        <v>56.699999999999996</v>
      </c>
      <c r="G187" s="1">
        <f t="shared" si="5"/>
        <v>3</v>
      </c>
      <c r="H187" s="1">
        <f t="shared" si="6"/>
        <v>75</v>
      </c>
      <c r="I187" s="1">
        <v>5.5545130418465004E-2</v>
      </c>
      <c r="J187" s="1">
        <v>0.39577129963068541</v>
      </c>
      <c r="K187" s="1">
        <v>478336</v>
      </c>
      <c r="L187" s="1">
        <v>1208617.2</v>
      </c>
      <c r="M187">
        <v>1980</v>
      </c>
      <c r="N187" s="6">
        <v>0</v>
      </c>
    </row>
    <row r="188" spans="1:14" x14ac:dyDescent="0.25">
      <c r="A188" s="10">
        <v>70</v>
      </c>
      <c r="B188" s="10">
        <v>70</v>
      </c>
      <c r="C188" s="10">
        <v>5</v>
      </c>
      <c r="D188" s="10">
        <v>210</v>
      </c>
      <c r="E188" s="10">
        <v>701</v>
      </c>
      <c r="F188" s="1">
        <v>18.374999999999996</v>
      </c>
      <c r="G188" s="1">
        <f t="shared" si="5"/>
        <v>3</v>
      </c>
      <c r="H188" s="1">
        <f t="shared" si="6"/>
        <v>14</v>
      </c>
      <c r="I188" s="1">
        <v>0.3611111111111111</v>
      </c>
      <c r="J188" s="1">
        <v>13.776266061980351</v>
      </c>
      <c r="K188" s="1">
        <v>911300</v>
      </c>
      <c r="L188" s="1">
        <v>66149.999999999985</v>
      </c>
      <c r="M188">
        <v>1367</v>
      </c>
      <c r="N188" s="6">
        <v>0</v>
      </c>
    </row>
    <row r="189" spans="1:14" x14ac:dyDescent="0.25">
      <c r="A189" s="10">
        <v>100</v>
      </c>
      <c r="B189" s="10">
        <v>100</v>
      </c>
      <c r="C189" s="10">
        <v>5</v>
      </c>
      <c r="D189" s="10">
        <v>300</v>
      </c>
      <c r="E189" s="10">
        <v>701</v>
      </c>
      <c r="F189" s="1">
        <v>18.374999999999996</v>
      </c>
      <c r="G189" s="1">
        <f t="shared" si="5"/>
        <v>3</v>
      </c>
      <c r="H189" s="1">
        <f t="shared" si="6"/>
        <v>20</v>
      </c>
      <c r="I189" s="1">
        <v>0.23456790123456789</v>
      </c>
      <c r="J189" s="1">
        <v>8.9486856470983476</v>
      </c>
      <c r="K189" s="1">
        <v>1331900</v>
      </c>
      <c r="L189" s="1">
        <v>148837.49999999997</v>
      </c>
      <c r="M189">
        <v>1934</v>
      </c>
      <c r="N189" s="6">
        <v>0</v>
      </c>
    </row>
    <row r="190" spans="1:14" x14ac:dyDescent="0.25">
      <c r="A190" s="10">
        <v>125</v>
      </c>
      <c r="B190" s="10">
        <v>125</v>
      </c>
      <c r="C190" s="10">
        <v>5</v>
      </c>
      <c r="D190" s="10">
        <v>375</v>
      </c>
      <c r="E190" s="10">
        <v>701</v>
      </c>
      <c r="F190" s="1">
        <v>18.374999999999996</v>
      </c>
      <c r="G190" s="1">
        <f t="shared" si="5"/>
        <v>3</v>
      </c>
      <c r="H190" s="1">
        <f t="shared" si="6"/>
        <v>25</v>
      </c>
      <c r="I190" s="1">
        <v>0.18147448015122875</v>
      </c>
      <c r="J190" s="1">
        <v>6.923189691755721</v>
      </c>
      <c r="K190" s="1">
        <v>1682400</v>
      </c>
      <c r="L190" s="1">
        <v>243009.37499999994</v>
      </c>
      <c r="M190">
        <v>2348</v>
      </c>
      <c r="N190" s="6">
        <v>0</v>
      </c>
    </row>
    <row r="191" spans="1:14" x14ac:dyDescent="0.25">
      <c r="A191" s="10">
        <v>150</v>
      </c>
      <c r="B191" s="10">
        <v>150</v>
      </c>
      <c r="C191" s="10">
        <v>5</v>
      </c>
      <c r="D191" s="10">
        <v>450</v>
      </c>
      <c r="E191" s="10">
        <v>701</v>
      </c>
      <c r="F191" s="1">
        <v>18.374999999999996</v>
      </c>
      <c r="G191" s="1">
        <f t="shared" si="5"/>
        <v>3</v>
      </c>
      <c r="H191" s="1">
        <f t="shared" si="6"/>
        <v>30</v>
      </c>
      <c r="I191" s="1">
        <v>0.14795918367346939</v>
      </c>
      <c r="J191" s="1">
        <v>5.6445925308899083</v>
      </c>
      <c r="K191" s="1">
        <v>2032900</v>
      </c>
      <c r="L191" s="1">
        <v>360149.99999999994</v>
      </c>
      <c r="M191">
        <v>2828</v>
      </c>
      <c r="N191" s="6">
        <v>0</v>
      </c>
    </row>
    <row r="192" spans="1:14" x14ac:dyDescent="0.25">
      <c r="A192" s="10">
        <v>110</v>
      </c>
      <c r="B192" s="10">
        <v>110</v>
      </c>
      <c r="C192" s="10">
        <v>5</v>
      </c>
      <c r="D192" s="10">
        <v>330</v>
      </c>
      <c r="E192" s="10">
        <v>701</v>
      </c>
      <c r="F192" s="1">
        <v>47.687499999999993</v>
      </c>
      <c r="G192" s="1">
        <f t="shared" si="5"/>
        <v>3</v>
      </c>
      <c r="H192" s="1">
        <f t="shared" si="6"/>
        <v>22</v>
      </c>
      <c r="I192" s="1">
        <v>0.21</v>
      </c>
      <c r="J192" s="1">
        <v>3.0869724770642204</v>
      </c>
      <c r="K192" s="1">
        <v>1472100</v>
      </c>
      <c r="L192" s="1">
        <v>476874.99999999994</v>
      </c>
      <c r="M192">
        <v>2203</v>
      </c>
      <c r="N192" s="6">
        <v>0</v>
      </c>
    </row>
    <row r="193" spans="1:14" x14ac:dyDescent="0.25">
      <c r="A193" s="10">
        <v>110</v>
      </c>
      <c r="B193" s="10">
        <v>110</v>
      </c>
      <c r="C193" s="10">
        <v>5</v>
      </c>
      <c r="D193" s="10">
        <v>330</v>
      </c>
      <c r="E193" s="10">
        <v>701</v>
      </c>
      <c r="F193" s="1">
        <v>47.687499999999993</v>
      </c>
      <c r="G193" s="1">
        <f t="shared" si="5"/>
        <v>3</v>
      </c>
      <c r="H193" s="1">
        <f t="shared" si="6"/>
        <v>22</v>
      </c>
      <c r="I193" s="1">
        <v>0.21</v>
      </c>
      <c r="J193" s="1">
        <v>3.0869724770642204</v>
      </c>
      <c r="K193" s="1">
        <v>1472100</v>
      </c>
      <c r="L193" s="1">
        <v>476874.99999999994</v>
      </c>
      <c r="M193">
        <v>2234</v>
      </c>
      <c r="N193" s="6">
        <v>0</v>
      </c>
    </row>
    <row r="194" spans="1:14" x14ac:dyDescent="0.25">
      <c r="A194" s="10">
        <v>140</v>
      </c>
      <c r="B194" s="10">
        <v>140</v>
      </c>
      <c r="C194" s="10">
        <v>5</v>
      </c>
      <c r="D194" s="10">
        <v>420</v>
      </c>
      <c r="E194" s="10">
        <v>701</v>
      </c>
      <c r="F194" s="1">
        <v>47.687499999999993</v>
      </c>
      <c r="G194" s="1">
        <f t="shared" ref="G194:G257" si="10">D194/A194</f>
        <v>3</v>
      </c>
      <c r="H194" s="1">
        <f t="shared" ref="H194:H257" si="11">A194/C194</f>
        <v>28</v>
      </c>
      <c r="I194" s="1">
        <v>0.15976331360946747</v>
      </c>
      <c r="J194" s="1">
        <v>2.3484997712238367</v>
      </c>
      <c r="K194" s="1">
        <v>1892700</v>
      </c>
      <c r="L194" s="1">
        <v>805918.74999999988</v>
      </c>
      <c r="M194">
        <v>2942</v>
      </c>
      <c r="N194" s="6">
        <v>0</v>
      </c>
    </row>
    <row r="195" spans="1:14" x14ac:dyDescent="0.25">
      <c r="A195" s="10">
        <v>140</v>
      </c>
      <c r="B195" s="10">
        <v>140</v>
      </c>
      <c r="C195" s="10">
        <v>5</v>
      </c>
      <c r="D195" s="10">
        <v>420</v>
      </c>
      <c r="E195" s="10">
        <v>701</v>
      </c>
      <c r="F195" s="1">
        <v>47.687499999999993</v>
      </c>
      <c r="G195" s="1">
        <f t="shared" si="10"/>
        <v>3</v>
      </c>
      <c r="H195" s="1">
        <f t="shared" si="11"/>
        <v>28</v>
      </c>
      <c r="I195" s="1">
        <v>0.15976331360946747</v>
      </c>
      <c r="J195" s="1">
        <v>2.3484997712238367</v>
      </c>
      <c r="K195" s="1">
        <v>1892700</v>
      </c>
      <c r="L195" s="1">
        <v>805918.74999999988</v>
      </c>
      <c r="M195">
        <v>2840</v>
      </c>
      <c r="N195" s="6">
        <v>0</v>
      </c>
    </row>
    <row r="196" spans="1:14" x14ac:dyDescent="0.25">
      <c r="A196" s="10">
        <v>170</v>
      </c>
      <c r="B196" s="10">
        <v>170</v>
      </c>
      <c r="C196" s="10">
        <v>5</v>
      </c>
      <c r="D196" s="10">
        <v>510</v>
      </c>
      <c r="E196" s="10">
        <v>701</v>
      </c>
      <c r="F196" s="1">
        <v>47.687499999999993</v>
      </c>
      <c r="G196" s="1">
        <f t="shared" si="10"/>
        <v>3</v>
      </c>
      <c r="H196" s="1">
        <f t="shared" si="11"/>
        <v>34</v>
      </c>
      <c r="I196" s="1">
        <v>0.12890625</v>
      </c>
      <c r="J196" s="1">
        <v>1.8949049803407605</v>
      </c>
      <c r="K196" s="1">
        <v>2313300</v>
      </c>
      <c r="L196" s="1">
        <v>1220799.9999999998</v>
      </c>
      <c r="M196">
        <v>3118</v>
      </c>
      <c r="N196" s="6">
        <v>0</v>
      </c>
    </row>
    <row r="197" spans="1:14" x14ac:dyDescent="0.25">
      <c r="A197" s="10">
        <v>170</v>
      </c>
      <c r="B197" s="10">
        <v>170</v>
      </c>
      <c r="C197" s="10">
        <v>5</v>
      </c>
      <c r="D197" s="10">
        <v>510</v>
      </c>
      <c r="E197" s="10">
        <v>701</v>
      </c>
      <c r="F197" s="1">
        <v>47.687499999999993</v>
      </c>
      <c r="G197" s="1">
        <f t="shared" si="10"/>
        <v>3</v>
      </c>
      <c r="H197" s="1">
        <f t="shared" si="11"/>
        <v>34</v>
      </c>
      <c r="I197" s="1">
        <v>0.12890625</v>
      </c>
      <c r="J197" s="1">
        <v>1.8949049803407605</v>
      </c>
      <c r="K197" s="1">
        <v>2313300</v>
      </c>
      <c r="L197" s="1">
        <v>1220799.9999999998</v>
      </c>
      <c r="M197">
        <v>3243</v>
      </c>
      <c r="N197" s="6">
        <v>0</v>
      </c>
    </row>
    <row r="198" spans="1:14" x14ac:dyDescent="0.25">
      <c r="A198" s="10">
        <v>180</v>
      </c>
      <c r="B198" s="10">
        <v>180</v>
      </c>
      <c r="C198" s="10">
        <v>5</v>
      </c>
      <c r="D198" s="10">
        <v>570</v>
      </c>
      <c r="E198" s="10">
        <v>701</v>
      </c>
      <c r="F198" s="1">
        <v>47.687499999999993</v>
      </c>
      <c r="G198" s="1">
        <f t="shared" si="10"/>
        <v>3.1666666666666665</v>
      </c>
      <c r="H198" s="1">
        <f t="shared" si="11"/>
        <v>36</v>
      </c>
      <c r="I198" s="1">
        <v>0.12110726643598616</v>
      </c>
      <c r="J198" s="1">
        <v>1.7802609440970132</v>
      </c>
      <c r="K198" s="1">
        <v>2453500</v>
      </c>
      <c r="L198" s="1">
        <v>1378168.7499999998</v>
      </c>
      <c r="M198">
        <v>3882</v>
      </c>
      <c r="N198" s="6">
        <v>0</v>
      </c>
    </row>
    <row r="199" spans="1:14" x14ac:dyDescent="0.25">
      <c r="A199" s="10">
        <v>180</v>
      </c>
      <c r="B199" s="10">
        <v>180</v>
      </c>
      <c r="C199" s="10">
        <v>5</v>
      </c>
      <c r="D199" s="10">
        <v>570</v>
      </c>
      <c r="E199" s="10">
        <v>701</v>
      </c>
      <c r="F199" s="1">
        <v>47.687499999999993</v>
      </c>
      <c r="G199" s="1">
        <f t="shared" si="10"/>
        <v>3.1666666666666665</v>
      </c>
      <c r="H199" s="1">
        <f t="shared" si="11"/>
        <v>36</v>
      </c>
      <c r="I199" s="1">
        <v>0.12110726643598616</v>
      </c>
      <c r="J199" s="1">
        <v>1.7802609440970132</v>
      </c>
      <c r="K199" s="1">
        <v>2453500</v>
      </c>
      <c r="L199" s="1">
        <v>1378168.7499999998</v>
      </c>
      <c r="M199">
        <v>3856</v>
      </c>
      <c r="N199" s="6">
        <v>0</v>
      </c>
    </row>
    <row r="200" spans="1:14" x14ac:dyDescent="0.25">
      <c r="A200" s="10">
        <v>70</v>
      </c>
      <c r="B200" s="10">
        <v>70</v>
      </c>
      <c r="C200" s="10">
        <v>5</v>
      </c>
      <c r="D200" s="10">
        <v>210</v>
      </c>
      <c r="E200" s="10">
        <v>701</v>
      </c>
      <c r="F200" s="1">
        <v>18.374999999999996</v>
      </c>
      <c r="G200" s="1">
        <f t="shared" si="10"/>
        <v>3</v>
      </c>
      <c r="H200" s="1">
        <f t="shared" si="11"/>
        <v>14</v>
      </c>
      <c r="I200" s="1">
        <v>0.3611111111111111</v>
      </c>
      <c r="J200" s="1">
        <v>13.776266061980351</v>
      </c>
      <c r="K200" s="1">
        <v>911300</v>
      </c>
      <c r="L200" s="1">
        <v>66149.999999999985</v>
      </c>
      <c r="M200">
        <v>1367</v>
      </c>
      <c r="N200" s="6">
        <v>0</v>
      </c>
    </row>
    <row r="201" spans="1:14" x14ac:dyDescent="0.25">
      <c r="A201" s="10">
        <v>100</v>
      </c>
      <c r="B201" s="10">
        <v>100</v>
      </c>
      <c r="C201" s="10">
        <v>5</v>
      </c>
      <c r="D201" s="10">
        <v>300</v>
      </c>
      <c r="E201" s="10">
        <v>701</v>
      </c>
      <c r="F201" s="1">
        <v>18.374999999999996</v>
      </c>
      <c r="G201" s="1">
        <f t="shared" si="10"/>
        <v>3</v>
      </c>
      <c r="H201" s="1">
        <f t="shared" si="11"/>
        <v>20</v>
      </c>
      <c r="I201" s="1">
        <v>0.23456790123456789</v>
      </c>
      <c r="J201" s="1">
        <v>8.9486856470983476</v>
      </c>
      <c r="K201" s="1">
        <v>1331900</v>
      </c>
      <c r="L201" s="1">
        <v>148837.49999999997</v>
      </c>
      <c r="M201">
        <v>1934</v>
      </c>
      <c r="N201" s="6">
        <v>0</v>
      </c>
    </row>
    <row r="202" spans="1:14" x14ac:dyDescent="0.25">
      <c r="A202" s="10">
        <v>125</v>
      </c>
      <c r="B202" s="10">
        <v>125</v>
      </c>
      <c r="C202" s="10">
        <v>5</v>
      </c>
      <c r="D202" s="10">
        <v>375</v>
      </c>
      <c r="E202" s="10">
        <v>701</v>
      </c>
      <c r="F202" s="1">
        <v>18.374999999999996</v>
      </c>
      <c r="G202" s="1">
        <f t="shared" si="10"/>
        <v>3</v>
      </c>
      <c r="H202" s="1">
        <f t="shared" si="11"/>
        <v>25</v>
      </c>
      <c r="I202" s="1">
        <v>0.18147448015122875</v>
      </c>
      <c r="J202" s="1">
        <v>6.923189691755721</v>
      </c>
      <c r="K202" s="1">
        <v>1682400</v>
      </c>
      <c r="L202" s="1">
        <v>243009.37499999994</v>
      </c>
      <c r="M202">
        <v>2348</v>
      </c>
      <c r="N202" s="6">
        <v>0</v>
      </c>
    </row>
    <row r="203" spans="1:14" x14ac:dyDescent="0.25">
      <c r="A203" s="10">
        <v>150</v>
      </c>
      <c r="B203" s="10">
        <v>150</v>
      </c>
      <c r="C203" s="10">
        <v>5</v>
      </c>
      <c r="D203" s="10">
        <v>450</v>
      </c>
      <c r="E203" s="10">
        <v>701</v>
      </c>
      <c r="F203" s="1">
        <v>18.374999999999996</v>
      </c>
      <c r="G203" s="1">
        <f t="shared" si="10"/>
        <v>3</v>
      </c>
      <c r="H203" s="1">
        <f t="shared" si="11"/>
        <v>30</v>
      </c>
      <c r="I203" s="1">
        <v>0.14795918367346939</v>
      </c>
      <c r="J203" s="1">
        <v>5.6445925308899083</v>
      </c>
      <c r="K203" s="1">
        <v>2032900</v>
      </c>
      <c r="L203" s="1">
        <v>360149.99999999994</v>
      </c>
      <c r="M203">
        <v>2828</v>
      </c>
      <c r="N203" s="6">
        <v>0</v>
      </c>
    </row>
    <row r="204" spans="1:14" x14ac:dyDescent="0.25">
      <c r="A204" s="10">
        <v>110</v>
      </c>
      <c r="B204" s="10">
        <v>110</v>
      </c>
      <c r="C204" s="10">
        <v>5</v>
      </c>
      <c r="D204" s="10">
        <v>330</v>
      </c>
      <c r="E204" s="10">
        <v>701</v>
      </c>
      <c r="F204" s="1">
        <v>47.687499999999993</v>
      </c>
      <c r="G204" s="1">
        <f t="shared" si="10"/>
        <v>3</v>
      </c>
      <c r="H204" s="1">
        <f t="shared" si="11"/>
        <v>22</v>
      </c>
      <c r="I204" s="1">
        <v>0.21</v>
      </c>
      <c r="J204" s="1">
        <v>3.0869724770642204</v>
      </c>
      <c r="K204" s="1">
        <v>1472100</v>
      </c>
      <c r="L204" s="1">
        <v>476874.99999999994</v>
      </c>
      <c r="M204">
        <v>2203</v>
      </c>
      <c r="N204" s="6">
        <v>0</v>
      </c>
    </row>
    <row r="205" spans="1:14" x14ac:dyDescent="0.25">
      <c r="A205" s="10">
        <v>110</v>
      </c>
      <c r="B205" s="10">
        <v>110</v>
      </c>
      <c r="C205" s="10">
        <v>5</v>
      </c>
      <c r="D205" s="10">
        <v>330</v>
      </c>
      <c r="E205" s="10">
        <v>701</v>
      </c>
      <c r="F205" s="1">
        <v>47.687499999999993</v>
      </c>
      <c r="G205" s="1">
        <f t="shared" si="10"/>
        <v>3</v>
      </c>
      <c r="H205" s="1">
        <f t="shared" si="11"/>
        <v>22</v>
      </c>
      <c r="I205" s="1">
        <v>0.21</v>
      </c>
      <c r="J205" s="1">
        <v>3.0869724770642204</v>
      </c>
      <c r="K205" s="1">
        <v>1472100</v>
      </c>
      <c r="L205" s="1">
        <v>476874.99999999994</v>
      </c>
      <c r="M205">
        <v>2234</v>
      </c>
      <c r="N205" s="6">
        <v>0</v>
      </c>
    </row>
    <row r="206" spans="1:14" x14ac:dyDescent="0.25">
      <c r="A206" s="10">
        <v>140</v>
      </c>
      <c r="B206" s="10">
        <v>140</v>
      </c>
      <c r="C206" s="10">
        <v>5</v>
      </c>
      <c r="D206" s="10">
        <v>420</v>
      </c>
      <c r="E206" s="10">
        <v>701</v>
      </c>
      <c r="F206" s="1">
        <v>47.687499999999993</v>
      </c>
      <c r="G206" s="1">
        <f t="shared" si="10"/>
        <v>3</v>
      </c>
      <c r="H206" s="1">
        <f t="shared" si="11"/>
        <v>28</v>
      </c>
      <c r="I206" s="1">
        <v>0.15976331360946747</v>
      </c>
      <c r="J206" s="1">
        <v>2.3484997712238367</v>
      </c>
      <c r="K206" s="1">
        <v>1892700</v>
      </c>
      <c r="L206" s="1">
        <v>805918.74999999988</v>
      </c>
      <c r="M206">
        <v>2942</v>
      </c>
      <c r="N206" s="6">
        <v>0</v>
      </c>
    </row>
    <row r="207" spans="1:14" x14ac:dyDescent="0.25">
      <c r="A207" s="10">
        <v>140</v>
      </c>
      <c r="B207" s="10">
        <v>140</v>
      </c>
      <c r="C207" s="10">
        <v>5</v>
      </c>
      <c r="D207" s="10">
        <v>420</v>
      </c>
      <c r="E207" s="10">
        <v>701</v>
      </c>
      <c r="F207" s="1">
        <v>47.687499999999993</v>
      </c>
      <c r="G207" s="1">
        <f t="shared" si="10"/>
        <v>3</v>
      </c>
      <c r="H207" s="1">
        <f t="shared" si="11"/>
        <v>28</v>
      </c>
      <c r="I207" s="1">
        <v>0.15976331360946747</v>
      </c>
      <c r="J207" s="1">
        <v>2.3484997712238367</v>
      </c>
      <c r="K207" s="1">
        <v>1892700</v>
      </c>
      <c r="L207" s="1">
        <v>805918.74999999988</v>
      </c>
      <c r="M207">
        <v>2840</v>
      </c>
      <c r="N207" s="6">
        <v>0</v>
      </c>
    </row>
    <row r="208" spans="1:14" x14ac:dyDescent="0.25">
      <c r="A208" s="10">
        <v>170</v>
      </c>
      <c r="B208" s="10">
        <v>170</v>
      </c>
      <c r="C208" s="10">
        <v>5</v>
      </c>
      <c r="D208" s="10">
        <v>510</v>
      </c>
      <c r="E208" s="10">
        <v>701</v>
      </c>
      <c r="F208" s="1">
        <v>47.687499999999993</v>
      </c>
      <c r="G208" s="1">
        <f t="shared" si="10"/>
        <v>3</v>
      </c>
      <c r="H208" s="1">
        <f t="shared" si="11"/>
        <v>34</v>
      </c>
      <c r="I208" s="1">
        <v>0.12890625</v>
      </c>
      <c r="J208" s="1">
        <v>1.8949049803407605</v>
      </c>
      <c r="K208" s="1">
        <v>2313300</v>
      </c>
      <c r="L208" s="1">
        <v>1220799.9999999998</v>
      </c>
      <c r="M208">
        <v>3118</v>
      </c>
      <c r="N208" s="6">
        <v>0</v>
      </c>
    </row>
    <row r="209" spans="1:14" x14ac:dyDescent="0.25">
      <c r="A209" s="10">
        <v>170</v>
      </c>
      <c r="B209" s="10">
        <v>170</v>
      </c>
      <c r="C209" s="10">
        <v>5</v>
      </c>
      <c r="D209" s="10">
        <v>510</v>
      </c>
      <c r="E209" s="10">
        <v>701</v>
      </c>
      <c r="F209" s="1">
        <v>47.687499999999993</v>
      </c>
      <c r="G209" s="1">
        <f t="shared" si="10"/>
        <v>3</v>
      </c>
      <c r="H209" s="1">
        <f t="shared" si="11"/>
        <v>34</v>
      </c>
      <c r="I209" s="1">
        <v>0.12890625</v>
      </c>
      <c r="J209" s="1">
        <v>1.8949049803407605</v>
      </c>
      <c r="K209" s="1">
        <v>2313300</v>
      </c>
      <c r="L209" s="1">
        <v>1220799.9999999998</v>
      </c>
      <c r="M209">
        <v>3243</v>
      </c>
      <c r="N209" s="6">
        <v>0</v>
      </c>
    </row>
    <row r="210" spans="1:14" x14ac:dyDescent="0.25">
      <c r="A210" s="10">
        <v>180</v>
      </c>
      <c r="B210" s="10">
        <v>180</v>
      </c>
      <c r="C210" s="10">
        <v>5</v>
      </c>
      <c r="D210" s="10">
        <v>570</v>
      </c>
      <c r="E210" s="10">
        <v>701</v>
      </c>
      <c r="F210" s="1">
        <v>47.687499999999993</v>
      </c>
      <c r="G210" s="1">
        <f t="shared" si="10"/>
        <v>3.1666666666666665</v>
      </c>
      <c r="H210" s="1">
        <f t="shared" si="11"/>
        <v>36</v>
      </c>
      <c r="I210" s="1">
        <v>0.12110726643598616</v>
      </c>
      <c r="J210" s="1">
        <v>1.7802609440970132</v>
      </c>
      <c r="K210" s="1">
        <v>2453500</v>
      </c>
      <c r="L210" s="1">
        <v>1378168.7499999998</v>
      </c>
      <c r="M210">
        <v>3882</v>
      </c>
      <c r="N210" s="6">
        <v>0</v>
      </c>
    </row>
    <row r="211" spans="1:14" x14ac:dyDescent="0.25">
      <c r="A211" s="10">
        <v>180</v>
      </c>
      <c r="B211" s="10">
        <v>180</v>
      </c>
      <c r="C211" s="10">
        <v>5</v>
      </c>
      <c r="D211" s="10">
        <v>570</v>
      </c>
      <c r="E211" s="10">
        <v>701</v>
      </c>
      <c r="F211" s="1">
        <v>47.687499999999993</v>
      </c>
      <c r="G211" s="1">
        <f t="shared" si="10"/>
        <v>3.1666666666666665</v>
      </c>
      <c r="H211" s="1">
        <f t="shared" si="11"/>
        <v>36</v>
      </c>
      <c r="I211" s="1">
        <v>0.12110726643598616</v>
      </c>
      <c r="J211" s="1">
        <v>1.7802609440970132</v>
      </c>
      <c r="K211" s="1">
        <v>2453500</v>
      </c>
      <c r="L211" s="1">
        <v>1378168.7499999998</v>
      </c>
      <c r="M211">
        <v>3856</v>
      </c>
      <c r="N211" s="6">
        <v>0</v>
      </c>
    </row>
    <row r="212" spans="1:14" x14ac:dyDescent="0.25">
      <c r="A212" s="10">
        <v>101</v>
      </c>
      <c r="B212" s="10">
        <v>203</v>
      </c>
      <c r="C212" s="10">
        <v>8.2750000000000004</v>
      </c>
      <c r="D212" s="10">
        <v>607</v>
      </c>
      <c r="E212" s="10">
        <v>488.38</v>
      </c>
      <c r="F212" s="1">
        <v>37.799999999999997</v>
      </c>
      <c r="G212" s="1">
        <f t="shared" si="10"/>
        <v>6.0099009900990099</v>
      </c>
      <c r="H212" s="1">
        <f t="shared" si="11"/>
        <v>12.205438066465256</v>
      </c>
      <c r="I212" s="1">
        <v>0.30213307408799328</v>
      </c>
      <c r="J212" s="1">
        <v>3.9035912889707447</v>
      </c>
      <c r="K212" s="1">
        <v>2323368.9530500001</v>
      </c>
      <c r="L212" s="1">
        <v>595187.55449999997</v>
      </c>
      <c r="M212">
        <v>3090</v>
      </c>
      <c r="N212" s="6">
        <v>0</v>
      </c>
    </row>
    <row r="213" spans="1:14" x14ac:dyDescent="0.25">
      <c r="A213" s="10">
        <v>120</v>
      </c>
      <c r="B213" s="10">
        <v>120</v>
      </c>
      <c r="C213" s="10">
        <v>5.8</v>
      </c>
      <c r="D213" s="10">
        <v>360</v>
      </c>
      <c r="E213" s="10">
        <v>300</v>
      </c>
      <c r="F213" s="1">
        <v>65.362499999999997</v>
      </c>
      <c r="G213" s="1">
        <f t="shared" si="10"/>
        <v>3</v>
      </c>
      <c r="H213" s="1">
        <f t="shared" si="11"/>
        <v>20.689655172413794</v>
      </c>
      <c r="I213" s="1">
        <v>0.22547350934763946</v>
      </c>
      <c r="J213" s="1">
        <v>1.0348755449117131</v>
      </c>
      <c r="K213" s="1">
        <v>794831.99999999965</v>
      </c>
      <c r="L213" s="1">
        <v>768045.978</v>
      </c>
      <c r="M213">
        <v>1697</v>
      </c>
      <c r="N213" s="6">
        <v>0</v>
      </c>
    </row>
    <row r="214" spans="1:14" x14ac:dyDescent="0.25">
      <c r="A214" s="10">
        <v>120</v>
      </c>
      <c r="B214" s="10">
        <v>120</v>
      </c>
      <c r="C214" s="10">
        <v>5.8</v>
      </c>
      <c r="D214" s="10">
        <v>360</v>
      </c>
      <c r="E214" s="10">
        <v>300</v>
      </c>
      <c r="F214" s="1">
        <v>80.499999999999986</v>
      </c>
      <c r="G214" s="1">
        <f t="shared" si="10"/>
        <v>3</v>
      </c>
      <c r="H214" s="1">
        <f t="shared" si="11"/>
        <v>20.689655172413794</v>
      </c>
      <c r="I214" s="1">
        <v>0.22547350934763946</v>
      </c>
      <c r="J214" s="1">
        <v>0.84027394787940191</v>
      </c>
      <c r="K214" s="1">
        <v>794831.99999999965</v>
      </c>
      <c r="L214" s="1">
        <v>945920.08</v>
      </c>
      <c r="M214">
        <v>1919</v>
      </c>
      <c r="N214" s="6">
        <v>0</v>
      </c>
    </row>
    <row r="215" spans="1:14" x14ac:dyDescent="0.25">
      <c r="A215" s="10">
        <v>200</v>
      </c>
      <c r="B215" s="10">
        <v>200</v>
      </c>
      <c r="C215" s="10">
        <v>5.8</v>
      </c>
      <c r="D215" s="10">
        <v>600</v>
      </c>
      <c r="E215" s="10">
        <v>300</v>
      </c>
      <c r="F215" s="1">
        <v>65.362499999999997</v>
      </c>
      <c r="G215" s="1">
        <f t="shared" si="10"/>
        <v>3</v>
      </c>
      <c r="H215" s="1">
        <f t="shared" si="11"/>
        <v>34.482758620689658</v>
      </c>
      <c r="I215" s="1">
        <v>0.1269332539972321</v>
      </c>
      <c r="J215" s="1">
        <v>0.58259669075034815</v>
      </c>
      <c r="K215" s="1">
        <v>1351631.9999999986</v>
      </c>
      <c r="L215" s="1">
        <v>2320013.1780000003</v>
      </c>
      <c r="M215">
        <v>3996</v>
      </c>
      <c r="N215" s="6">
        <v>0</v>
      </c>
    </row>
    <row r="216" spans="1:14" x14ac:dyDescent="0.25">
      <c r="A216" s="10">
        <v>200</v>
      </c>
      <c r="B216" s="10">
        <v>200</v>
      </c>
      <c r="C216" s="10">
        <v>5.8</v>
      </c>
      <c r="D216" s="10">
        <v>600</v>
      </c>
      <c r="E216" s="10">
        <v>300</v>
      </c>
      <c r="F216" s="1">
        <v>65.362499999999997</v>
      </c>
      <c r="G216" s="1">
        <f t="shared" si="10"/>
        <v>3</v>
      </c>
      <c r="H216" s="1">
        <f t="shared" si="11"/>
        <v>34.482758620689658</v>
      </c>
      <c r="I216" s="1">
        <v>0.1269332539972321</v>
      </c>
      <c r="J216" s="1">
        <v>0.58259669075034815</v>
      </c>
      <c r="K216" s="1">
        <v>1351631.9999999986</v>
      </c>
      <c r="L216" s="1">
        <v>2320013.1780000003</v>
      </c>
      <c r="M216">
        <v>3862</v>
      </c>
      <c r="N216" s="6">
        <v>0</v>
      </c>
    </row>
    <row r="217" spans="1:14" x14ac:dyDescent="0.25">
      <c r="A217" s="10">
        <v>100</v>
      </c>
      <c r="B217" s="10">
        <v>130</v>
      </c>
      <c r="C217" s="10">
        <v>5.8</v>
      </c>
      <c r="D217" s="10">
        <v>390</v>
      </c>
      <c r="E217" s="10">
        <v>300</v>
      </c>
      <c r="F217" s="1">
        <v>65.362499999999997</v>
      </c>
      <c r="G217" s="1">
        <f t="shared" si="10"/>
        <v>3.9</v>
      </c>
      <c r="H217" s="1">
        <f t="shared" si="11"/>
        <v>17.241379310344829</v>
      </c>
      <c r="I217" s="1">
        <v>0.24205087440381542</v>
      </c>
      <c r="J217" s="1">
        <v>1.1109621315149303</v>
      </c>
      <c r="K217" s="1">
        <v>760031.99999999965</v>
      </c>
      <c r="L217" s="1">
        <v>684120.52800000005</v>
      </c>
      <c r="M217">
        <v>1601</v>
      </c>
      <c r="N217" s="6">
        <v>0</v>
      </c>
    </row>
    <row r="218" spans="1:14" x14ac:dyDescent="0.25">
      <c r="A218" s="10">
        <v>100</v>
      </c>
      <c r="B218" s="10">
        <v>130</v>
      </c>
      <c r="C218" s="10">
        <v>5.8</v>
      </c>
      <c r="D218" s="10">
        <v>390</v>
      </c>
      <c r="E218" s="10">
        <v>300</v>
      </c>
      <c r="F218" s="1">
        <v>65.362499999999997</v>
      </c>
      <c r="G218" s="1">
        <f t="shared" si="10"/>
        <v>3.9</v>
      </c>
      <c r="H218" s="1">
        <f t="shared" si="11"/>
        <v>17.241379310344829</v>
      </c>
      <c r="I218" s="1">
        <v>0.24205087440381542</v>
      </c>
      <c r="J218" s="1">
        <v>1.1109621315149303</v>
      </c>
      <c r="K218" s="1">
        <v>760031.99999999965</v>
      </c>
      <c r="L218" s="1">
        <v>684120.52800000005</v>
      </c>
      <c r="M218">
        <v>1566</v>
      </c>
      <c r="N218" s="6">
        <v>0</v>
      </c>
    </row>
    <row r="219" spans="1:14" x14ac:dyDescent="0.25">
      <c r="A219" s="10">
        <v>100</v>
      </c>
      <c r="B219" s="10">
        <v>130</v>
      </c>
      <c r="C219" s="10">
        <v>5.8</v>
      </c>
      <c r="D219" s="10">
        <v>390</v>
      </c>
      <c r="E219" s="10">
        <v>300</v>
      </c>
      <c r="F219" s="1">
        <v>80.499999999999986</v>
      </c>
      <c r="G219" s="1">
        <f t="shared" si="10"/>
        <v>3.9</v>
      </c>
      <c r="H219" s="1">
        <f t="shared" si="11"/>
        <v>17.241379310344829</v>
      </c>
      <c r="I219" s="1">
        <v>0.24205087440381542</v>
      </c>
      <c r="J219" s="1">
        <v>0.90205294808875336</v>
      </c>
      <c r="K219" s="1">
        <v>760031.99999999965</v>
      </c>
      <c r="L219" s="1">
        <v>842558.08</v>
      </c>
      <c r="M219">
        <v>1854</v>
      </c>
      <c r="N219" s="6">
        <v>0</v>
      </c>
    </row>
    <row r="220" spans="1:14" x14ac:dyDescent="0.25">
      <c r="A220" s="10">
        <v>100</v>
      </c>
      <c r="B220" s="10">
        <v>130</v>
      </c>
      <c r="C220" s="10">
        <v>5.8</v>
      </c>
      <c r="D220" s="10">
        <v>390</v>
      </c>
      <c r="E220" s="10">
        <v>300</v>
      </c>
      <c r="F220" s="1">
        <v>80.499999999999986</v>
      </c>
      <c r="G220" s="1">
        <f t="shared" si="10"/>
        <v>3.9</v>
      </c>
      <c r="H220" s="1">
        <f t="shared" si="11"/>
        <v>17.241379310344829</v>
      </c>
      <c r="I220" s="1">
        <v>0.24205087440381542</v>
      </c>
      <c r="J220" s="1">
        <v>0.90205294808875336</v>
      </c>
      <c r="K220" s="1">
        <v>760031.99999999965</v>
      </c>
      <c r="L220" s="1">
        <v>842558.08</v>
      </c>
      <c r="M220">
        <v>1779</v>
      </c>
      <c r="N220" s="6">
        <v>0</v>
      </c>
    </row>
    <row r="221" spans="1:14" x14ac:dyDescent="0.25">
      <c r="A221" s="10">
        <v>170</v>
      </c>
      <c r="B221" s="10">
        <v>220</v>
      </c>
      <c r="C221" s="10">
        <v>5.8</v>
      </c>
      <c r="D221" s="10">
        <v>660</v>
      </c>
      <c r="E221" s="10">
        <v>300</v>
      </c>
      <c r="F221" s="1">
        <v>65.362499999999997</v>
      </c>
      <c r="G221" s="1">
        <f t="shared" si="10"/>
        <v>3.8823529411764706</v>
      </c>
      <c r="H221" s="1">
        <f t="shared" si="11"/>
        <v>29.310344827586206</v>
      </c>
      <c r="I221" s="1">
        <v>0.13297078268287466</v>
      </c>
      <c r="J221" s="1">
        <v>0.61030766578485218</v>
      </c>
      <c r="K221" s="1">
        <v>1316831.9999999986</v>
      </c>
      <c r="L221" s="1">
        <v>2157652.7280000001</v>
      </c>
      <c r="M221">
        <v>3684</v>
      </c>
      <c r="N221" s="6">
        <v>0</v>
      </c>
    </row>
    <row r="222" spans="1:14" x14ac:dyDescent="0.25">
      <c r="A222" s="10">
        <v>170</v>
      </c>
      <c r="B222" s="10">
        <v>220</v>
      </c>
      <c r="C222" s="10">
        <v>5.8</v>
      </c>
      <c r="D222" s="10">
        <v>660</v>
      </c>
      <c r="E222" s="10">
        <v>300</v>
      </c>
      <c r="F222" s="1">
        <v>65.362499999999997</v>
      </c>
      <c r="G222" s="1">
        <f t="shared" si="10"/>
        <v>3.8823529411764706</v>
      </c>
      <c r="H222" s="1">
        <f t="shared" si="11"/>
        <v>29.310344827586206</v>
      </c>
      <c r="I222" s="1">
        <v>0.13297078268287466</v>
      </c>
      <c r="J222" s="1">
        <v>0.61030766578485218</v>
      </c>
      <c r="K222" s="1">
        <v>1316831.9999999986</v>
      </c>
      <c r="L222" s="1">
        <v>2157652.7280000001</v>
      </c>
      <c r="M222">
        <v>3717</v>
      </c>
      <c r="N222" s="6">
        <v>0</v>
      </c>
    </row>
    <row r="223" spans="1:14" x14ac:dyDescent="0.25">
      <c r="A223" s="10">
        <v>120</v>
      </c>
      <c r="B223" s="10">
        <v>120</v>
      </c>
      <c r="C223" s="10">
        <v>4</v>
      </c>
      <c r="D223" s="10">
        <v>360</v>
      </c>
      <c r="E223" s="10">
        <v>495</v>
      </c>
      <c r="F223" s="1">
        <v>48.999999999999993</v>
      </c>
      <c r="G223" s="1">
        <f t="shared" si="10"/>
        <v>3</v>
      </c>
      <c r="H223" s="1">
        <f t="shared" si="11"/>
        <v>30</v>
      </c>
      <c r="I223" s="1">
        <v>0.14795918367346939</v>
      </c>
      <c r="J223" s="1">
        <v>1.494689712619742</v>
      </c>
      <c r="K223" s="1">
        <v>918720</v>
      </c>
      <c r="L223" s="1">
        <v>614655.99999999988</v>
      </c>
      <c r="M223">
        <v>1739</v>
      </c>
      <c r="N223" s="6">
        <v>0</v>
      </c>
    </row>
    <row r="224" spans="1:14" x14ac:dyDescent="0.25">
      <c r="A224" s="10">
        <v>120</v>
      </c>
      <c r="B224" s="10">
        <v>120</v>
      </c>
      <c r="C224" s="10">
        <v>4</v>
      </c>
      <c r="D224" s="10">
        <v>360</v>
      </c>
      <c r="E224" s="10">
        <v>495</v>
      </c>
      <c r="F224" s="1">
        <v>48.999999999999993</v>
      </c>
      <c r="G224" s="1">
        <f t="shared" si="10"/>
        <v>3</v>
      </c>
      <c r="H224" s="1">
        <f t="shared" si="11"/>
        <v>30</v>
      </c>
      <c r="I224" s="1">
        <v>0.14795918367346939</v>
      </c>
      <c r="J224" s="1">
        <v>1.494689712619742</v>
      </c>
      <c r="K224" s="1">
        <v>918720</v>
      </c>
      <c r="L224" s="1">
        <v>614655.99999999988</v>
      </c>
      <c r="M224">
        <v>1718</v>
      </c>
      <c r="N224" s="6">
        <v>0</v>
      </c>
    </row>
    <row r="225" spans="1:14" x14ac:dyDescent="0.25">
      <c r="A225" s="10">
        <v>130</v>
      </c>
      <c r="B225" s="10">
        <v>130</v>
      </c>
      <c r="C225" s="10">
        <v>4</v>
      </c>
      <c r="D225" s="10">
        <v>390</v>
      </c>
      <c r="E225" s="10">
        <v>495</v>
      </c>
      <c r="F225" s="1">
        <v>48.999999999999993</v>
      </c>
      <c r="G225" s="1">
        <f t="shared" si="10"/>
        <v>3</v>
      </c>
      <c r="H225" s="1">
        <f t="shared" si="11"/>
        <v>32.5</v>
      </c>
      <c r="I225" s="1">
        <v>0.13544746036011826</v>
      </c>
      <c r="J225" s="1">
        <v>1.3682957730256846</v>
      </c>
      <c r="K225" s="1">
        <v>997920</v>
      </c>
      <c r="L225" s="1">
        <v>729315.99999999988</v>
      </c>
      <c r="M225">
        <v>1963</v>
      </c>
      <c r="N225" s="6">
        <v>0</v>
      </c>
    </row>
    <row r="226" spans="1:14" x14ac:dyDescent="0.25">
      <c r="A226" s="10">
        <v>130</v>
      </c>
      <c r="B226" s="10">
        <v>130</v>
      </c>
      <c r="C226" s="10">
        <v>4</v>
      </c>
      <c r="D226" s="10">
        <v>390</v>
      </c>
      <c r="E226" s="10">
        <v>495</v>
      </c>
      <c r="F226" s="1">
        <v>48.999999999999993</v>
      </c>
      <c r="G226" s="1">
        <f t="shared" si="10"/>
        <v>3</v>
      </c>
      <c r="H226" s="1">
        <f t="shared" si="11"/>
        <v>32.5</v>
      </c>
      <c r="I226" s="1">
        <v>0.13544746036011826</v>
      </c>
      <c r="J226" s="1">
        <v>1.3682957730256846</v>
      </c>
      <c r="K226" s="1">
        <v>997920</v>
      </c>
      <c r="L226" s="1">
        <v>729315.99999999988</v>
      </c>
      <c r="M226">
        <v>1988</v>
      </c>
      <c r="N226" s="6">
        <v>0</v>
      </c>
    </row>
    <row r="227" spans="1:14" x14ac:dyDescent="0.25">
      <c r="A227" s="10">
        <v>98.2</v>
      </c>
      <c r="B227" s="10">
        <v>100.3</v>
      </c>
      <c r="C227" s="10">
        <v>4.18</v>
      </c>
      <c r="D227" s="10">
        <v>300</v>
      </c>
      <c r="E227" s="10">
        <v>550</v>
      </c>
      <c r="F227" s="1">
        <v>49.524999999999991</v>
      </c>
      <c r="G227" s="1">
        <f t="shared" si="10"/>
        <v>3.0549898167006111</v>
      </c>
      <c r="H227" s="1">
        <f t="shared" si="11"/>
        <v>23.49282296650718</v>
      </c>
      <c r="I227" s="1">
        <v>0.19244450918569161</v>
      </c>
      <c r="J227" s="1">
        <v>2.1371929339147986</v>
      </c>
      <c r="K227" s="1">
        <v>874263.71999999927</v>
      </c>
      <c r="L227" s="1">
        <v>409071.03243999992</v>
      </c>
      <c r="M227">
        <v>1490</v>
      </c>
      <c r="N227" s="6">
        <v>0</v>
      </c>
    </row>
    <row r="228" spans="1:14" x14ac:dyDescent="0.25">
      <c r="A228" s="10">
        <v>100.6</v>
      </c>
      <c r="B228" s="10">
        <v>101.5</v>
      </c>
      <c r="C228" s="10">
        <v>4.18</v>
      </c>
      <c r="D228" s="10">
        <v>300</v>
      </c>
      <c r="E228" s="10">
        <v>550</v>
      </c>
      <c r="F228" s="1">
        <v>49.524999999999991</v>
      </c>
      <c r="G228" s="1">
        <f t="shared" si="10"/>
        <v>2.9821073558648115</v>
      </c>
      <c r="H228" s="1">
        <f t="shared" si="11"/>
        <v>24.066985645933016</v>
      </c>
      <c r="I228" s="1">
        <v>0.18852547554986751</v>
      </c>
      <c r="J228" s="1">
        <v>2.0936700969697557</v>
      </c>
      <c r="K228" s="1">
        <v>890816.52</v>
      </c>
      <c r="L228" s="1">
        <v>425480.84403999988</v>
      </c>
      <c r="M228">
        <v>1535</v>
      </c>
      <c r="N228" s="6">
        <v>0</v>
      </c>
    </row>
    <row r="229" spans="1:14" x14ac:dyDescent="0.25">
      <c r="A229" s="10">
        <v>101.1</v>
      </c>
      <c r="B229" s="10">
        <v>101.2</v>
      </c>
      <c r="C229" s="10">
        <v>4.18</v>
      </c>
      <c r="D229" s="10">
        <v>300</v>
      </c>
      <c r="E229" s="10">
        <v>550</v>
      </c>
      <c r="F229" s="1">
        <v>57.487499999999997</v>
      </c>
      <c r="G229" s="1">
        <f t="shared" si="10"/>
        <v>2.9673590504451042</v>
      </c>
      <c r="H229" s="1">
        <f t="shared" si="11"/>
        <v>24.186602870813399</v>
      </c>
      <c r="I229" s="1">
        <v>0.18830915968508002</v>
      </c>
      <c r="J229" s="1">
        <v>1.8016097034449927</v>
      </c>
      <c r="K229" s="1">
        <v>891736.12000000034</v>
      </c>
      <c r="L229" s="1">
        <v>494966.31722999993</v>
      </c>
      <c r="M229">
        <v>1740</v>
      </c>
      <c r="N229" s="6">
        <v>0</v>
      </c>
    </row>
    <row r="230" spans="1:14" x14ac:dyDescent="0.25">
      <c r="A230" s="10">
        <v>100.4</v>
      </c>
      <c r="B230" s="10">
        <v>100.7</v>
      </c>
      <c r="C230" s="10">
        <v>4.18</v>
      </c>
      <c r="D230" s="10">
        <v>300</v>
      </c>
      <c r="E230" s="10">
        <v>550</v>
      </c>
      <c r="F230" s="1">
        <v>57.487499999999997</v>
      </c>
      <c r="G230" s="1">
        <f t="shared" si="10"/>
        <v>2.9880478087649402</v>
      </c>
      <c r="H230" s="1">
        <f t="shared" si="11"/>
        <v>24.019138755980865</v>
      </c>
      <c r="I230" s="1">
        <v>0.18958835217466721</v>
      </c>
      <c r="J230" s="1">
        <v>1.8138481182181687</v>
      </c>
      <c r="K230" s="1">
        <v>886218.51999999967</v>
      </c>
      <c r="L230" s="1">
        <v>488584.74483000004</v>
      </c>
      <c r="M230">
        <v>1775</v>
      </c>
      <c r="N230" s="6">
        <v>0</v>
      </c>
    </row>
    <row r="231" spans="1:14" x14ac:dyDescent="0.25">
      <c r="A231" s="10">
        <v>181.2</v>
      </c>
      <c r="B231" s="10">
        <v>182.8</v>
      </c>
      <c r="C231" s="10">
        <v>4.18</v>
      </c>
      <c r="D231" s="10">
        <v>540</v>
      </c>
      <c r="E231" s="10">
        <v>550</v>
      </c>
      <c r="F231" s="1">
        <v>49.524999999999991</v>
      </c>
      <c r="G231" s="1">
        <f t="shared" si="10"/>
        <v>2.9801324503311259</v>
      </c>
      <c r="H231" s="1">
        <f t="shared" si="11"/>
        <v>43.349282296650721</v>
      </c>
      <c r="I231" s="1">
        <v>9.8611268029128604E-2</v>
      </c>
      <c r="J231" s="1">
        <v>1.0951276611008731</v>
      </c>
      <c r="K231" s="1">
        <v>1635232.7200000032</v>
      </c>
      <c r="L231" s="1">
        <v>1493189.1304399995</v>
      </c>
      <c r="M231">
        <v>3590</v>
      </c>
      <c r="N231" s="6">
        <v>0</v>
      </c>
    </row>
    <row r="232" spans="1:14" x14ac:dyDescent="0.25">
      <c r="A232" s="10">
        <v>180.4</v>
      </c>
      <c r="B232" s="10">
        <v>181.8</v>
      </c>
      <c r="C232" s="10">
        <v>4.18</v>
      </c>
      <c r="D232" s="10">
        <v>540</v>
      </c>
      <c r="E232" s="10">
        <v>550</v>
      </c>
      <c r="F232" s="1">
        <v>57.487499999999997</v>
      </c>
      <c r="G232" s="1">
        <f t="shared" si="10"/>
        <v>2.9933481152993346</v>
      </c>
      <c r="H232" s="1">
        <f t="shared" si="11"/>
        <v>43.15789473684211</v>
      </c>
      <c r="I232" s="1">
        <v>9.9136710676569664E-2</v>
      </c>
      <c r="J232" s="1">
        <v>0.94847037829290404</v>
      </c>
      <c r="K232" s="1">
        <v>1626956.3199999998</v>
      </c>
      <c r="L232" s="1">
        <v>1715347.5292799999</v>
      </c>
      <c r="M232">
        <v>4210</v>
      </c>
      <c r="N232" s="6">
        <v>0</v>
      </c>
    </row>
    <row r="233" spans="1:14" x14ac:dyDescent="0.25">
      <c r="A233" s="10">
        <v>100</v>
      </c>
      <c r="B233" s="10">
        <v>150</v>
      </c>
      <c r="C233" s="10">
        <v>4</v>
      </c>
      <c r="D233" s="10">
        <v>450</v>
      </c>
      <c r="E233" s="10">
        <v>495</v>
      </c>
      <c r="F233" s="1">
        <v>51.099999999999994</v>
      </c>
      <c r="G233" s="1">
        <f t="shared" si="10"/>
        <v>4.5</v>
      </c>
      <c r="H233" s="1">
        <f t="shared" si="11"/>
        <v>25</v>
      </c>
      <c r="I233" s="1">
        <v>0.14819350887936314</v>
      </c>
      <c r="J233" s="1">
        <v>1.4355339901229895</v>
      </c>
      <c r="K233" s="1">
        <v>958320</v>
      </c>
      <c r="L233" s="1">
        <v>667570.39999999991</v>
      </c>
      <c r="M233">
        <v>1735</v>
      </c>
      <c r="N233" s="6">
        <v>0</v>
      </c>
    </row>
    <row r="234" spans="1:14" x14ac:dyDescent="0.25">
      <c r="A234" s="10">
        <v>100</v>
      </c>
      <c r="B234" s="10">
        <v>150</v>
      </c>
      <c r="C234" s="10">
        <v>4</v>
      </c>
      <c r="D234" s="10">
        <v>450</v>
      </c>
      <c r="E234" s="10">
        <v>495</v>
      </c>
      <c r="F234" s="1">
        <v>51.099999999999994</v>
      </c>
      <c r="G234" s="1">
        <f t="shared" si="10"/>
        <v>4.5</v>
      </c>
      <c r="H234" s="1">
        <f t="shared" si="11"/>
        <v>25</v>
      </c>
      <c r="I234" s="1">
        <v>0.14819350887936314</v>
      </c>
      <c r="J234" s="1">
        <v>1.4355339901229895</v>
      </c>
      <c r="K234" s="1">
        <v>958320</v>
      </c>
      <c r="L234" s="1">
        <v>667570.39999999991</v>
      </c>
      <c r="M234">
        <v>1778</v>
      </c>
      <c r="N234" s="6">
        <v>0</v>
      </c>
    </row>
    <row r="235" spans="1:14" x14ac:dyDescent="0.25">
      <c r="A235" s="10">
        <v>90</v>
      </c>
      <c r="B235" s="10">
        <v>180</v>
      </c>
      <c r="C235" s="10">
        <v>4</v>
      </c>
      <c r="D235" s="10">
        <v>540</v>
      </c>
      <c r="E235" s="10">
        <v>495</v>
      </c>
      <c r="F235" s="1">
        <v>51.099999999999994</v>
      </c>
      <c r="G235" s="1">
        <f t="shared" si="10"/>
        <v>6</v>
      </c>
      <c r="H235" s="1">
        <f t="shared" si="11"/>
        <v>22.5</v>
      </c>
      <c r="I235" s="1">
        <v>0.14861032331253546</v>
      </c>
      <c r="J235" s="1">
        <v>1.4395716250431518</v>
      </c>
      <c r="K235" s="1">
        <v>1037520</v>
      </c>
      <c r="L235" s="1">
        <v>720714.39999999991</v>
      </c>
      <c r="M235">
        <v>1773</v>
      </c>
      <c r="N235" s="6">
        <v>0</v>
      </c>
    </row>
    <row r="236" spans="1:14" x14ac:dyDescent="0.25">
      <c r="A236" s="10">
        <v>90</v>
      </c>
      <c r="B236" s="10">
        <v>180</v>
      </c>
      <c r="C236" s="10">
        <v>4</v>
      </c>
      <c r="D236" s="10">
        <v>540</v>
      </c>
      <c r="E236" s="10">
        <v>495</v>
      </c>
      <c r="F236" s="1">
        <v>51.099999999999994</v>
      </c>
      <c r="G236" s="1">
        <f t="shared" si="10"/>
        <v>6</v>
      </c>
      <c r="H236" s="1">
        <f t="shared" si="11"/>
        <v>22.5</v>
      </c>
      <c r="I236" s="1">
        <v>0.14861032331253546</v>
      </c>
      <c r="J236" s="1">
        <v>1.4395716250431518</v>
      </c>
      <c r="K236" s="1">
        <v>1037520</v>
      </c>
      <c r="L236" s="1">
        <v>720714.39999999991</v>
      </c>
      <c r="M236">
        <v>1795</v>
      </c>
      <c r="N236" s="6">
        <v>0</v>
      </c>
    </row>
    <row r="237" spans="1:14" x14ac:dyDescent="0.25">
      <c r="A237" s="10">
        <v>110</v>
      </c>
      <c r="B237" s="10">
        <v>160</v>
      </c>
      <c r="C237" s="10">
        <v>4</v>
      </c>
      <c r="D237" s="10">
        <v>480</v>
      </c>
      <c r="E237" s="10">
        <v>495</v>
      </c>
      <c r="F237" s="1">
        <v>51.099999999999994</v>
      </c>
      <c r="G237" s="1">
        <f t="shared" si="10"/>
        <v>4.3636363636363633</v>
      </c>
      <c r="H237" s="1">
        <f t="shared" si="11"/>
        <v>27.5</v>
      </c>
      <c r="I237" s="1">
        <v>0.13519091847265222</v>
      </c>
      <c r="J237" s="1">
        <v>1.3095793472399777</v>
      </c>
      <c r="K237" s="1">
        <v>1037520</v>
      </c>
      <c r="L237" s="1">
        <v>792254.39999999991</v>
      </c>
      <c r="M237">
        <v>1982</v>
      </c>
      <c r="N237" s="6">
        <v>0</v>
      </c>
    </row>
    <row r="238" spans="1:14" x14ac:dyDescent="0.25">
      <c r="A238" s="10">
        <v>110</v>
      </c>
      <c r="B238" s="10">
        <v>160</v>
      </c>
      <c r="C238" s="10">
        <v>4</v>
      </c>
      <c r="D238" s="10">
        <v>480</v>
      </c>
      <c r="E238" s="10">
        <v>495</v>
      </c>
      <c r="F238" s="1">
        <v>51.099999999999994</v>
      </c>
      <c r="G238" s="1">
        <f t="shared" si="10"/>
        <v>4.3636363636363633</v>
      </c>
      <c r="H238" s="1">
        <f t="shared" si="11"/>
        <v>27.5</v>
      </c>
      <c r="I238" s="1">
        <v>0.13519091847265222</v>
      </c>
      <c r="J238" s="1">
        <v>1.3095793472399777</v>
      </c>
      <c r="K238" s="1">
        <v>1037520</v>
      </c>
      <c r="L238" s="1">
        <v>792254.39999999991</v>
      </c>
      <c r="M238">
        <v>1923</v>
      </c>
      <c r="N238" s="6">
        <v>0</v>
      </c>
    </row>
    <row r="239" spans="1:14" x14ac:dyDescent="0.25">
      <c r="A239" s="10">
        <v>100</v>
      </c>
      <c r="B239" s="10">
        <v>190</v>
      </c>
      <c r="C239" s="10">
        <v>4</v>
      </c>
      <c r="D239" s="10">
        <v>570</v>
      </c>
      <c r="E239" s="10">
        <v>495</v>
      </c>
      <c r="F239" s="1">
        <v>51.099999999999994</v>
      </c>
      <c r="G239" s="1">
        <f t="shared" si="10"/>
        <v>5.7</v>
      </c>
      <c r="H239" s="1">
        <f t="shared" si="11"/>
        <v>25</v>
      </c>
      <c r="I239" s="1">
        <v>0.13473483038700429</v>
      </c>
      <c r="J239" s="1">
        <v>1.3051612728291024</v>
      </c>
      <c r="K239" s="1">
        <v>1116720</v>
      </c>
      <c r="L239" s="1">
        <v>855618.39999999991</v>
      </c>
      <c r="M239">
        <v>2049</v>
      </c>
      <c r="N239" s="6">
        <v>0</v>
      </c>
    </row>
    <row r="240" spans="1:14" x14ac:dyDescent="0.25">
      <c r="A240" s="10">
        <v>100</v>
      </c>
      <c r="B240" s="10">
        <v>190</v>
      </c>
      <c r="C240" s="10">
        <v>4</v>
      </c>
      <c r="D240" s="10">
        <v>570</v>
      </c>
      <c r="E240" s="10">
        <v>495</v>
      </c>
      <c r="F240" s="1">
        <v>51.099999999999994</v>
      </c>
      <c r="G240" s="1">
        <f t="shared" si="10"/>
        <v>5.7</v>
      </c>
      <c r="H240" s="1">
        <f t="shared" si="11"/>
        <v>25</v>
      </c>
      <c r="I240" s="1">
        <v>0.13473483038700429</v>
      </c>
      <c r="J240" s="1">
        <v>1.3051612728291024</v>
      </c>
      <c r="K240" s="1">
        <v>1116720</v>
      </c>
      <c r="L240" s="1">
        <v>855618.39999999991</v>
      </c>
      <c r="M240">
        <v>2124</v>
      </c>
      <c r="N240" s="6">
        <v>0</v>
      </c>
    </row>
    <row r="241" spans="1:14" x14ac:dyDescent="0.25">
      <c r="A241" s="10">
        <v>90</v>
      </c>
      <c r="B241" s="10">
        <v>130</v>
      </c>
      <c r="C241" s="10">
        <v>4</v>
      </c>
      <c r="D241" s="10">
        <v>390</v>
      </c>
      <c r="E241" s="10">
        <v>495</v>
      </c>
      <c r="F241" s="1">
        <v>67.899999999999991</v>
      </c>
      <c r="G241" s="1">
        <f t="shared" si="10"/>
        <v>4.333333333333333</v>
      </c>
      <c r="H241" s="1">
        <f t="shared" si="11"/>
        <v>22.5</v>
      </c>
      <c r="I241" s="1">
        <v>0.16953218712514995</v>
      </c>
      <c r="J241" s="1">
        <v>1.2359121152717119</v>
      </c>
      <c r="K241" s="1">
        <v>839520</v>
      </c>
      <c r="L241" s="1">
        <v>679271.59999999986</v>
      </c>
      <c r="M241">
        <v>1752</v>
      </c>
      <c r="N241" s="6">
        <v>0</v>
      </c>
    </row>
    <row r="242" spans="1:14" x14ac:dyDescent="0.25">
      <c r="A242" s="10">
        <v>90</v>
      </c>
      <c r="B242" s="10">
        <v>130</v>
      </c>
      <c r="C242" s="10">
        <v>4</v>
      </c>
      <c r="D242" s="10">
        <v>390</v>
      </c>
      <c r="E242" s="10">
        <v>495</v>
      </c>
      <c r="F242" s="1">
        <v>67.899999999999991</v>
      </c>
      <c r="G242" s="1">
        <f t="shared" si="10"/>
        <v>4.333333333333333</v>
      </c>
      <c r="H242" s="1">
        <f t="shared" si="11"/>
        <v>22.5</v>
      </c>
      <c r="I242" s="1">
        <v>0.16953218712514995</v>
      </c>
      <c r="J242" s="1">
        <v>1.2359121152717119</v>
      </c>
      <c r="K242" s="1">
        <v>839520</v>
      </c>
      <c r="L242" s="1">
        <v>679271.59999999986</v>
      </c>
      <c r="M242">
        <v>1806</v>
      </c>
      <c r="N242" s="6">
        <v>0</v>
      </c>
    </row>
    <row r="243" spans="1:14" x14ac:dyDescent="0.25">
      <c r="A243" s="10">
        <v>80</v>
      </c>
      <c r="B243" s="10">
        <v>160</v>
      </c>
      <c r="C243" s="10">
        <v>4</v>
      </c>
      <c r="D243" s="10">
        <v>480</v>
      </c>
      <c r="E243" s="10">
        <v>495</v>
      </c>
      <c r="F243" s="1">
        <v>67.899999999999991</v>
      </c>
      <c r="G243" s="1">
        <f t="shared" si="10"/>
        <v>6</v>
      </c>
      <c r="H243" s="1">
        <f t="shared" si="11"/>
        <v>20</v>
      </c>
      <c r="I243" s="1">
        <v>0.16959064327485379</v>
      </c>
      <c r="J243" s="1">
        <v>1.2363382683512909</v>
      </c>
      <c r="K243" s="1">
        <v>918720</v>
      </c>
      <c r="L243" s="1">
        <v>743097.59999999986</v>
      </c>
      <c r="M243">
        <v>1878</v>
      </c>
      <c r="N243" s="6">
        <v>0</v>
      </c>
    </row>
    <row r="244" spans="1:14" x14ac:dyDescent="0.25">
      <c r="A244" s="10">
        <v>80</v>
      </c>
      <c r="B244" s="10">
        <v>160</v>
      </c>
      <c r="C244" s="10">
        <v>4</v>
      </c>
      <c r="D244" s="10">
        <v>480</v>
      </c>
      <c r="E244" s="10">
        <v>495</v>
      </c>
      <c r="F244" s="1">
        <v>67.899999999999991</v>
      </c>
      <c r="G244" s="1">
        <f t="shared" si="10"/>
        <v>6</v>
      </c>
      <c r="H244" s="1">
        <f t="shared" si="11"/>
        <v>20</v>
      </c>
      <c r="I244" s="1">
        <v>0.16959064327485379</v>
      </c>
      <c r="J244" s="1">
        <v>1.2363382683512909</v>
      </c>
      <c r="K244" s="1">
        <v>918720</v>
      </c>
      <c r="L244" s="1">
        <v>743097.59999999986</v>
      </c>
      <c r="M244">
        <v>1858</v>
      </c>
      <c r="N244" s="6">
        <v>0</v>
      </c>
    </row>
    <row r="245" spans="1:14" x14ac:dyDescent="0.25">
      <c r="A245" s="10">
        <v>120</v>
      </c>
      <c r="B245" s="10">
        <v>120</v>
      </c>
      <c r="C245" s="10">
        <v>4</v>
      </c>
      <c r="D245" s="10">
        <v>360</v>
      </c>
      <c r="E245" s="10">
        <v>495</v>
      </c>
      <c r="F245" s="1">
        <v>51.099999999999994</v>
      </c>
      <c r="G245" s="1">
        <f t="shared" si="10"/>
        <v>3</v>
      </c>
      <c r="H245" s="1">
        <f t="shared" si="11"/>
        <v>30</v>
      </c>
      <c r="I245" s="1">
        <v>0.14795918367346939</v>
      </c>
      <c r="J245" s="1">
        <v>1.4332641079915334</v>
      </c>
      <c r="K245" s="1">
        <v>918720</v>
      </c>
      <c r="L245" s="1">
        <v>640998.39999999991</v>
      </c>
      <c r="M245">
        <v>1701</v>
      </c>
      <c r="N245" s="6">
        <v>0</v>
      </c>
    </row>
    <row r="246" spans="1:14" x14ac:dyDescent="0.25">
      <c r="A246" s="10">
        <v>120</v>
      </c>
      <c r="B246" s="10">
        <v>120</v>
      </c>
      <c r="C246" s="10">
        <v>4</v>
      </c>
      <c r="D246" s="10">
        <v>360</v>
      </c>
      <c r="E246" s="10">
        <v>495</v>
      </c>
      <c r="F246" s="1">
        <v>51.099999999999994</v>
      </c>
      <c r="G246" s="1">
        <f t="shared" si="10"/>
        <v>3</v>
      </c>
      <c r="H246" s="1">
        <f t="shared" si="11"/>
        <v>30</v>
      </c>
      <c r="I246" s="1">
        <v>0.14795918367346939</v>
      </c>
      <c r="J246" s="1">
        <v>1.4332641079915334</v>
      </c>
      <c r="K246" s="1">
        <v>918720</v>
      </c>
      <c r="L246" s="1">
        <v>640998.39999999991</v>
      </c>
      <c r="M246">
        <v>1657</v>
      </c>
      <c r="N246" s="6">
        <v>0</v>
      </c>
    </row>
    <row r="247" spans="1:14" x14ac:dyDescent="0.25">
      <c r="A247" s="10">
        <v>130</v>
      </c>
      <c r="B247" s="10">
        <v>130</v>
      </c>
      <c r="C247" s="10">
        <v>4</v>
      </c>
      <c r="D247" s="10">
        <v>390</v>
      </c>
      <c r="E247" s="10">
        <v>495</v>
      </c>
      <c r="F247" s="1">
        <v>51.099999999999994</v>
      </c>
      <c r="G247" s="1">
        <f t="shared" si="10"/>
        <v>3</v>
      </c>
      <c r="H247" s="1">
        <f t="shared" si="11"/>
        <v>32.5</v>
      </c>
      <c r="I247" s="1">
        <v>0.13544746036011826</v>
      </c>
      <c r="J247" s="1">
        <v>1.3120644398876427</v>
      </c>
      <c r="K247" s="1">
        <v>997920</v>
      </c>
      <c r="L247" s="1">
        <v>760572.39999999991</v>
      </c>
      <c r="M247">
        <v>2020</v>
      </c>
      <c r="N247" s="6">
        <v>0</v>
      </c>
    </row>
    <row r="248" spans="1:14" x14ac:dyDescent="0.25">
      <c r="A248" s="10">
        <v>130</v>
      </c>
      <c r="B248" s="10">
        <v>130</v>
      </c>
      <c r="C248" s="10">
        <v>4</v>
      </c>
      <c r="D248" s="10">
        <v>390</v>
      </c>
      <c r="E248" s="10">
        <v>495</v>
      </c>
      <c r="F248" s="1">
        <v>51.099999999999994</v>
      </c>
      <c r="G248" s="1">
        <f t="shared" si="10"/>
        <v>3</v>
      </c>
      <c r="H248" s="1">
        <f t="shared" si="11"/>
        <v>32.5</v>
      </c>
      <c r="I248" s="1">
        <v>0.13544746036011826</v>
      </c>
      <c r="J248" s="1">
        <v>1.3120644398876427</v>
      </c>
      <c r="K248" s="1">
        <v>997920</v>
      </c>
      <c r="L248" s="1">
        <v>760572.39999999991</v>
      </c>
      <c r="M248">
        <v>2018</v>
      </c>
      <c r="N248" s="6">
        <v>0</v>
      </c>
    </row>
    <row r="249" spans="1:14" x14ac:dyDescent="0.25">
      <c r="A249" s="10">
        <v>108</v>
      </c>
      <c r="B249" s="10">
        <v>108</v>
      </c>
      <c r="C249" s="10">
        <v>4</v>
      </c>
      <c r="D249" s="10">
        <v>320</v>
      </c>
      <c r="E249" s="10">
        <v>495</v>
      </c>
      <c r="F249" s="1">
        <v>67.899999999999991</v>
      </c>
      <c r="G249" s="1">
        <f t="shared" si="10"/>
        <v>2.9629629629629628</v>
      </c>
      <c r="H249" s="1">
        <f t="shared" si="11"/>
        <v>27</v>
      </c>
      <c r="I249" s="1">
        <v>0.16639999999999999</v>
      </c>
      <c r="J249" s="1">
        <v>1.2130780559646541</v>
      </c>
      <c r="K249" s="1">
        <v>823680</v>
      </c>
      <c r="L249" s="1">
        <v>678999.99999999988</v>
      </c>
      <c r="M249">
        <v>1749</v>
      </c>
      <c r="N249" s="6">
        <v>0</v>
      </c>
    </row>
    <row r="250" spans="1:14" x14ac:dyDescent="0.25">
      <c r="A250" s="10">
        <v>108</v>
      </c>
      <c r="B250" s="10">
        <v>108</v>
      </c>
      <c r="C250" s="10">
        <v>4</v>
      </c>
      <c r="D250" s="10">
        <v>320</v>
      </c>
      <c r="E250" s="10">
        <v>495</v>
      </c>
      <c r="F250" s="1">
        <v>67.899999999999991</v>
      </c>
      <c r="G250" s="1">
        <f t="shared" si="10"/>
        <v>2.9629629629629628</v>
      </c>
      <c r="H250" s="1">
        <f t="shared" si="11"/>
        <v>27</v>
      </c>
      <c r="I250" s="1">
        <v>0.16639999999999999</v>
      </c>
      <c r="J250" s="1">
        <v>1.2130780559646541</v>
      </c>
      <c r="K250" s="1">
        <v>823680</v>
      </c>
      <c r="L250" s="1">
        <v>678999.99999999988</v>
      </c>
      <c r="M250">
        <v>1824</v>
      </c>
      <c r="N250" s="6">
        <v>0</v>
      </c>
    </row>
    <row r="251" spans="1:14" x14ac:dyDescent="0.25">
      <c r="A251" s="10">
        <v>140</v>
      </c>
      <c r="B251" s="10">
        <v>140</v>
      </c>
      <c r="C251" s="10">
        <v>4</v>
      </c>
      <c r="D251" s="10">
        <v>420</v>
      </c>
      <c r="E251" s="10">
        <v>495</v>
      </c>
      <c r="F251" s="1">
        <v>67.899999999999991</v>
      </c>
      <c r="G251" s="1">
        <f t="shared" si="10"/>
        <v>3</v>
      </c>
      <c r="H251" s="1">
        <f t="shared" si="11"/>
        <v>35</v>
      </c>
      <c r="I251" s="1">
        <v>0.1248852157943067</v>
      </c>
      <c r="J251" s="1">
        <v>0.91042977640915801</v>
      </c>
      <c r="K251" s="1">
        <v>1077120</v>
      </c>
      <c r="L251" s="1">
        <v>1183089.5999999999</v>
      </c>
      <c r="M251">
        <v>2752</v>
      </c>
      <c r="N251" s="6">
        <v>0</v>
      </c>
    </row>
    <row r="252" spans="1:14" x14ac:dyDescent="0.25">
      <c r="A252" s="10">
        <v>140</v>
      </c>
      <c r="B252" s="10">
        <v>140</v>
      </c>
      <c r="C252" s="10">
        <v>4</v>
      </c>
      <c r="D252" s="10">
        <v>420</v>
      </c>
      <c r="E252" s="10">
        <v>495</v>
      </c>
      <c r="F252" s="1">
        <v>67.899999999999991</v>
      </c>
      <c r="G252" s="1">
        <f t="shared" si="10"/>
        <v>3</v>
      </c>
      <c r="H252" s="1">
        <f t="shared" si="11"/>
        <v>35</v>
      </c>
      <c r="I252" s="1">
        <v>0.1248852157943067</v>
      </c>
      <c r="J252" s="1">
        <v>0.91042977640915801</v>
      </c>
      <c r="K252" s="1">
        <v>1077120</v>
      </c>
      <c r="L252" s="1">
        <v>1183089.5999999999</v>
      </c>
      <c r="M252">
        <v>2828</v>
      </c>
      <c r="N252" s="6">
        <v>0</v>
      </c>
    </row>
    <row r="253" spans="1:14" x14ac:dyDescent="0.25">
      <c r="A253" s="10">
        <v>125</v>
      </c>
      <c r="B253" s="10">
        <v>160</v>
      </c>
      <c r="C253" s="10">
        <v>4</v>
      </c>
      <c r="D253" s="10">
        <v>480</v>
      </c>
      <c r="E253" s="10">
        <v>495</v>
      </c>
      <c r="F253" s="1">
        <v>67.899999999999991</v>
      </c>
      <c r="G253" s="1">
        <f t="shared" si="10"/>
        <v>3.84</v>
      </c>
      <c r="H253" s="1">
        <f t="shared" si="11"/>
        <v>31.25</v>
      </c>
      <c r="I253" s="1">
        <v>0.1246063877642825</v>
      </c>
      <c r="J253" s="1">
        <v>0.90839708311222156</v>
      </c>
      <c r="K253" s="1">
        <v>1096920</v>
      </c>
      <c r="L253" s="1">
        <v>1207533.5999999999</v>
      </c>
      <c r="M253">
        <v>2580</v>
      </c>
      <c r="N253" s="6">
        <v>0</v>
      </c>
    </row>
    <row r="254" spans="1:14" x14ac:dyDescent="0.25">
      <c r="A254" s="10">
        <v>125</v>
      </c>
      <c r="B254" s="10">
        <v>160</v>
      </c>
      <c r="C254" s="10">
        <v>4</v>
      </c>
      <c r="D254" s="10">
        <v>480</v>
      </c>
      <c r="E254" s="10">
        <v>495</v>
      </c>
      <c r="F254" s="1">
        <v>67.899999999999991</v>
      </c>
      <c r="G254" s="1">
        <f t="shared" si="10"/>
        <v>3.84</v>
      </c>
      <c r="H254" s="1">
        <f t="shared" si="11"/>
        <v>31.25</v>
      </c>
      <c r="I254" s="1">
        <v>0.1246063877642825</v>
      </c>
      <c r="J254" s="1">
        <v>0.90839708311222156</v>
      </c>
      <c r="K254" s="1">
        <v>1096920</v>
      </c>
      <c r="L254" s="1">
        <v>1207533.5999999999</v>
      </c>
      <c r="M254">
        <v>2674</v>
      </c>
      <c r="N254" s="6">
        <v>0</v>
      </c>
    </row>
    <row r="255" spans="1:14" x14ac:dyDescent="0.25">
      <c r="A255" s="10">
        <v>76</v>
      </c>
      <c r="B255" s="10">
        <v>76</v>
      </c>
      <c r="C255" s="10">
        <v>3.09</v>
      </c>
      <c r="D255" s="10">
        <v>228</v>
      </c>
      <c r="E255" s="10">
        <v>199</v>
      </c>
      <c r="F255" s="1">
        <v>31.587499999999999</v>
      </c>
      <c r="G255" s="1">
        <f t="shared" si="10"/>
        <v>3</v>
      </c>
      <c r="H255" s="1">
        <f t="shared" si="11"/>
        <v>24.595469255663431</v>
      </c>
      <c r="I255" s="1">
        <v>0.18486124774258922</v>
      </c>
      <c r="J255" s="1">
        <v>1.1646185453351883</v>
      </c>
      <c r="K255" s="1">
        <v>179332.35240000015</v>
      </c>
      <c r="L255" s="1">
        <v>153983.76843499998</v>
      </c>
      <c r="M255">
        <v>275</v>
      </c>
      <c r="N255" s="6">
        <v>0</v>
      </c>
    </row>
    <row r="256" spans="1:14" x14ac:dyDescent="0.25">
      <c r="A256" s="10">
        <v>75.900000000000006</v>
      </c>
      <c r="B256" s="10">
        <v>75.900000000000006</v>
      </c>
      <c r="C256" s="10">
        <v>3.09</v>
      </c>
      <c r="D256" s="10">
        <v>228</v>
      </c>
      <c r="E256" s="10">
        <v>199</v>
      </c>
      <c r="F256" s="1">
        <v>65.099999999999994</v>
      </c>
      <c r="G256" s="1">
        <f t="shared" si="10"/>
        <v>3.0039525691699605</v>
      </c>
      <c r="H256" s="1">
        <f t="shared" si="11"/>
        <v>24.563106796116507</v>
      </c>
      <c r="I256" s="1">
        <v>0.18513764919525694</v>
      </c>
      <c r="J256" s="1">
        <v>0.56593536389947974</v>
      </c>
      <c r="K256" s="1">
        <v>179086.38840000035</v>
      </c>
      <c r="L256" s="1">
        <v>316443.18383999995</v>
      </c>
      <c r="M256">
        <v>382</v>
      </c>
      <c r="N256" s="6">
        <v>0</v>
      </c>
    </row>
    <row r="257" spans="1:14" x14ac:dyDescent="0.25">
      <c r="A257" s="10">
        <v>75.8</v>
      </c>
      <c r="B257" s="10">
        <v>75.8</v>
      </c>
      <c r="C257" s="10">
        <v>3.09</v>
      </c>
      <c r="D257" s="10">
        <v>227</v>
      </c>
      <c r="E257" s="10">
        <v>199</v>
      </c>
      <c r="F257" s="1">
        <v>65.099999999999994</v>
      </c>
      <c r="G257" s="1">
        <f t="shared" si="10"/>
        <v>2.9947229551451189</v>
      </c>
      <c r="H257" s="1">
        <f t="shared" si="11"/>
        <v>24.53074433656958</v>
      </c>
      <c r="I257" s="1">
        <v>0.18541487705119933</v>
      </c>
      <c r="J257" s="1">
        <v>0.56678280388922686</v>
      </c>
      <c r="K257" s="1">
        <v>178840.42439999981</v>
      </c>
      <c r="L257" s="1">
        <v>315536.08043999999</v>
      </c>
      <c r="M257">
        <v>374</v>
      </c>
      <c r="N257" s="6">
        <v>0</v>
      </c>
    </row>
    <row r="258" spans="1:14" x14ac:dyDescent="0.25">
      <c r="A258" s="10">
        <v>76</v>
      </c>
      <c r="B258" s="10">
        <v>76</v>
      </c>
      <c r="C258" s="10">
        <v>3.09</v>
      </c>
      <c r="D258" s="10">
        <v>228</v>
      </c>
      <c r="E258" s="10">
        <v>199</v>
      </c>
      <c r="F258" s="1">
        <v>95.024999999999991</v>
      </c>
      <c r="G258" s="1">
        <f t="shared" ref="G258:G321" si="12">D258/A258</f>
        <v>3</v>
      </c>
      <c r="H258" s="1">
        <f t="shared" ref="H258:H321" si="13">A258/C258</f>
        <v>24.595469255663431</v>
      </c>
      <c r="I258" s="1">
        <v>0.18486124774258922</v>
      </c>
      <c r="J258" s="1">
        <v>0.38713378901105244</v>
      </c>
      <c r="K258" s="1">
        <v>179332.35240000015</v>
      </c>
      <c r="L258" s="1">
        <v>463230.94880999991</v>
      </c>
      <c r="M258">
        <v>514</v>
      </c>
      <c r="N258" s="6">
        <v>0</v>
      </c>
    </row>
    <row r="259" spans="1:14" x14ac:dyDescent="0.25">
      <c r="A259" s="10">
        <v>88.1</v>
      </c>
      <c r="B259" s="10">
        <v>88.1</v>
      </c>
      <c r="C259" s="10">
        <v>1.76</v>
      </c>
      <c r="D259" s="10">
        <v>269</v>
      </c>
      <c r="E259" s="10">
        <v>115</v>
      </c>
      <c r="F259" s="1">
        <v>31.587499999999999</v>
      </c>
      <c r="G259" s="1">
        <f t="shared" si="12"/>
        <v>3.0533484676503977</v>
      </c>
      <c r="H259" s="1">
        <f t="shared" si="13"/>
        <v>50.05681818181818</v>
      </c>
      <c r="I259" s="1">
        <v>8.4966815568906937E-2</v>
      </c>
      <c r="J259" s="1">
        <v>0.30933704124809808</v>
      </c>
      <c r="K259" s="1">
        <v>69900.863999999885</v>
      </c>
      <c r="L259" s="1">
        <v>225969.91203499999</v>
      </c>
      <c r="M259">
        <v>299</v>
      </c>
      <c r="N259" s="6">
        <v>0</v>
      </c>
    </row>
    <row r="260" spans="1:14" x14ac:dyDescent="0.25">
      <c r="A260" s="10">
        <v>88</v>
      </c>
      <c r="B260" s="10">
        <v>88</v>
      </c>
      <c r="C260" s="10">
        <v>1.76</v>
      </c>
      <c r="D260" s="10">
        <v>264</v>
      </c>
      <c r="E260" s="10">
        <v>115</v>
      </c>
      <c r="F260" s="1">
        <v>65.099999999999994</v>
      </c>
      <c r="G260" s="1">
        <f t="shared" si="12"/>
        <v>3</v>
      </c>
      <c r="H260" s="1">
        <f t="shared" si="13"/>
        <v>50</v>
      </c>
      <c r="I260" s="1">
        <v>8.5069444444444337E-2</v>
      </c>
      <c r="J260" s="1">
        <v>0.15027628434886484</v>
      </c>
      <c r="K260" s="1">
        <v>69819.903999999922</v>
      </c>
      <c r="L260" s="1">
        <v>464610.26303999999</v>
      </c>
      <c r="M260">
        <v>467</v>
      </c>
      <c r="N260" s="6">
        <v>0</v>
      </c>
    </row>
    <row r="261" spans="1:14" x14ac:dyDescent="0.25">
      <c r="A261" s="10">
        <v>88</v>
      </c>
      <c r="B261" s="10">
        <v>88</v>
      </c>
      <c r="C261" s="10">
        <v>1.76</v>
      </c>
      <c r="D261" s="10">
        <v>264</v>
      </c>
      <c r="E261" s="10">
        <v>115</v>
      </c>
      <c r="F261" s="1">
        <v>95.024999999999991</v>
      </c>
      <c r="G261" s="1">
        <f t="shared" si="12"/>
        <v>3</v>
      </c>
      <c r="H261" s="1">
        <f t="shared" si="13"/>
        <v>50</v>
      </c>
      <c r="I261" s="1">
        <v>8.5069444444444337E-2</v>
      </c>
      <c r="J261" s="1">
        <v>0.10295170861469193</v>
      </c>
      <c r="K261" s="1">
        <v>69819.903999999922</v>
      </c>
      <c r="L261" s="1">
        <v>678181.10976000002</v>
      </c>
      <c r="M261">
        <v>722</v>
      </c>
      <c r="N261" s="6">
        <v>0</v>
      </c>
    </row>
    <row r="262" spans="1:14" x14ac:dyDescent="0.25">
      <c r="A262" s="10">
        <v>101.7</v>
      </c>
      <c r="B262" s="10">
        <v>101.7</v>
      </c>
      <c r="C262" s="10">
        <v>2.3199999999999998</v>
      </c>
      <c r="D262" s="10">
        <v>300</v>
      </c>
      <c r="E262" s="10">
        <v>145</v>
      </c>
      <c r="F262" s="1">
        <v>31.587499999999999</v>
      </c>
      <c r="G262" s="1">
        <f t="shared" si="12"/>
        <v>2.9498525073746311</v>
      </c>
      <c r="H262" s="1">
        <f t="shared" si="13"/>
        <v>43.83620689655173</v>
      </c>
      <c r="I262" s="1">
        <v>9.7896326318936411E-2</v>
      </c>
      <c r="J262" s="1">
        <v>0.44938558975055898</v>
      </c>
      <c r="K262" s="1">
        <v>133725.728</v>
      </c>
      <c r="L262" s="1">
        <v>297574.579715</v>
      </c>
      <c r="M262">
        <v>415</v>
      </c>
      <c r="N262" s="6">
        <v>0</v>
      </c>
    </row>
    <row r="263" spans="1:14" x14ac:dyDescent="0.25">
      <c r="A263" s="10">
        <v>101.6</v>
      </c>
      <c r="B263" s="10">
        <v>101.6</v>
      </c>
      <c r="C263" s="10">
        <v>2.3199999999999998</v>
      </c>
      <c r="D263" s="10">
        <v>300</v>
      </c>
      <c r="E263" s="10">
        <v>145</v>
      </c>
      <c r="F263" s="1">
        <v>65.099999999999994</v>
      </c>
      <c r="G263" s="1">
        <f t="shared" si="12"/>
        <v>2.9527559055118111</v>
      </c>
      <c r="H263" s="1">
        <f t="shared" si="13"/>
        <v>43.793103448275865</v>
      </c>
      <c r="I263" s="1">
        <v>9.799965145029356E-2</v>
      </c>
      <c r="J263" s="1">
        <v>0.21827879355288121</v>
      </c>
      <c r="K263" s="1">
        <v>133591.16800000001</v>
      </c>
      <c r="L263" s="1">
        <v>612020.82815999992</v>
      </c>
      <c r="M263">
        <v>651</v>
      </c>
      <c r="N263" s="6">
        <v>0</v>
      </c>
    </row>
    <row r="264" spans="1:14" x14ac:dyDescent="0.25">
      <c r="A264" s="10">
        <v>101.5</v>
      </c>
      <c r="B264" s="10">
        <v>101.5</v>
      </c>
      <c r="C264" s="10">
        <v>2.3199999999999998</v>
      </c>
      <c r="D264" s="10">
        <v>300</v>
      </c>
      <c r="E264" s="10">
        <v>145</v>
      </c>
      <c r="F264" s="1">
        <v>95.024999999999991</v>
      </c>
      <c r="G264" s="1">
        <f t="shared" si="12"/>
        <v>2.9556650246305418</v>
      </c>
      <c r="H264" s="1">
        <f t="shared" si="13"/>
        <v>43.75</v>
      </c>
      <c r="I264" s="1">
        <v>9.8103194807988833E-2</v>
      </c>
      <c r="J264" s="1">
        <v>0.1496970612697541</v>
      </c>
      <c r="K264" s="1">
        <v>133456.60800000004</v>
      </c>
      <c r="L264" s="1">
        <v>891511.20848999987</v>
      </c>
      <c r="M264">
        <v>1009</v>
      </c>
      <c r="N264" s="6">
        <v>0</v>
      </c>
    </row>
    <row r="265" spans="1:14" x14ac:dyDescent="0.25">
      <c r="A265" s="10">
        <v>153</v>
      </c>
      <c r="B265" s="10">
        <v>153</v>
      </c>
      <c r="C265" s="10">
        <v>3.31</v>
      </c>
      <c r="D265" s="10">
        <v>456</v>
      </c>
      <c r="E265" s="10">
        <v>148</v>
      </c>
      <c r="F265" s="1">
        <v>31.587499999999999</v>
      </c>
      <c r="G265" s="1">
        <f t="shared" si="12"/>
        <v>2.9803921568627452</v>
      </c>
      <c r="H265" s="1">
        <f t="shared" si="13"/>
        <v>46.223564954682779</v>
      </c>
      <c r="I265" s="1">
        <v>9.2494793650233012E-2</v>
      </c>
      <c r="J265" s="1">
        <v>0.43337489387366795</v>
      </c>
      <c r="K265" s="1">
        <v>293320.54879999999</v>
      </c>
      <c r="L265" s="1">
        <v>676828.66023499996</v>
      </c>
      <c r="M265">
        <v>915</v>
      </c>
      <c r="N265" s="6">
        <v>0</v>
      </c>
    </row>
    <row r="266" spans="1:14" x14ac:dyDescent="0.25">
      <c r="A266" s="10">
        <v>152.30000000000001</v>
      </c>
      <c r="B266" s="10">
        <v>152.30000000000001</v>
      </c>
      <c r="C266" s="10">
        <v>3.31</v>
      </c>
      <c r="D266" s="10">
        <v>456</v>
      </c>
      <c r="E266" s="10">
        <v>148</v>
      </c>
      <c r="F266" s="1">
        <v>65.099999999999994</v>
      </c>
      <c r="G266" s="1">
        <f t="shared" si="12"/>
        <v>2.9940906106369005</v>
      </c>
      <c r="H266" s="1">
        <f t="shared" si="13"/>
        <v>46.012084592145015</v>
      </c>
      <c r="I266" s="1">
        <v>9.2949110852368996E-2</v>
      </c>
      <c r="J266" s="1">
        <v>0.21131287874271296</v>
      </c>
      <c r="K266" s="1">
        <v>291948.88480000052</v>
      </c>
      <c r="L266" s="1">
        <v>1381595.3222399999</v>
      </c>
      <c r="M266">
        <v>1566</v>
      </c>
      <c r="N266" s="6">
        <v>0</v>
      </c>
    </row>
    <row r="267" spans="1:14" x14ac:dyDescent="0.25">
      <c r="A267" s="10">
        <v>152.5</v>
      </c>
      <c r="B267" s="10">
        <v>152.5</v>
      </c>
      <c r="C267" s="10">
        <v>3.31</v>
      </c>
      <c r="D267" s="10">
        <v>455</v>
      </c>
      <c r="E267" s="10">
        <v>148</v>
      </c>
      <c r="F267" s="1">
        <v>95.024999999999991</v>
      </c>
      <c r="G267" s="1">
        <f t="shared" si="12"/>
        <v>2.9836065573770494</v>
      </c>
      <c r="H267" s="1">
        <f t="shared" si="13"/>
        <v>46.072507552870093</v>
      </c>
      <c r="I267" s="1">
        <v>9.2818851377406891E-2</v>
      </c>
      <c r="J267" s="1">
        <v>0.14456395689404075</v>
      </c>
      <c r="K267" s="1">
        <v>292340.7888000001</v>
      </c>
      <c r="L267" s="1">
        <v>2022224.5923599997</v>
      </c>
      <c r="M267">
        <v>2124</v>
      </c>
      <c r="N267" s="6">
        <v>0</v>
      </c>
    </row>
    <row r="268" spans="1:14" x14ac:dyDescent="0.25">
      <c r="A268" s="10">
        <v>100</v>
      </c>
      <c r="B268" s="10">
        <v>44.1</v>
      </c>
      <c r="C268" s="10">
        <v>1.57</v>
      </c>
      <c r="D268" s="10">
        <v>300</v>
      </c>
      <c r="E268" s="10">
        <v>145</v>
      </c>
      <c r="F268" s="1">
        <v>31.587499999999999</v>
      </c>
      <c r="G268" s="1">
        <f t="shared" si="12"/>
        <v>3</v>
      </c>
      <c r="H268" s="1">
        <f t="shared" si="13"/>
        <v>63.694267515923563</v>
      </c>
      <c r="I268" s="1">
        <v>0.11156324205038197</v>
      </c>
      <c r="J268" s="1">
        <v>0.51212251989886459</v>
      </c>
      <c r="K268" s="1">
        <v>64179.087999999989</v>
      </c>
      <c r="L268" s="1">
        <v>125319.79264</v>
      </c>
      <c r="M268">
        <v>182</v>
      </c>
      <c r="N268" s="6">
        <v>0</v>
      </c>
    </row>
    <row r="269" spans="1:14" x14ac:dyDescent="0.25">
      <c r="A269" s="10">
        <v>100</v>
      </c>
      <c r="B269" s="10">
        <v>44.1</v>
      </c>
      <c r="C269" s="10">
        <v>1.57</v>
      </c>
      <c r="D269" s="10">
        <v>300</v>
      </c>
      <c r="E269" s="10">
        <v>145</v>
      </c>
      <c r="F269" s="1">
        <v>65.099999999999994</v>
      </c>
      <c r="G269" s="1">
        <f t="shared" si="12"/>
        <v>3</v>
      </c>
      <c r="H269" s="1">
        <f t="shared" si="13"/>
        <v>63.694267515923563</v>
      </c>
      <c r="I269" s="1">
        <v>0.11156324205038197</v>
      </c>
      <c r="J269" s="1">
        <v>0.24848955602619643</v>
      </c>
      <c r="K269" s="1">
        <v>64179.087999999989</v>
      </c>
      <c r="L269" s="1">
        <v>258276.80255999998</v>
      </c>
      <c r="M269">
        <v>296</v>
      </c>
      <c r="N269" s="6">
        <v>0</v>
      </c>
    </row>
    <row r="270" spans="1:14" x14ac:dyDescent="0.25">
      <c r="A270" s="10">
        <v>99.9</v>
      </c>
      <c r="B270" s="10">
        <v>44</v>
      </c>
      <c r="C270" s="10">
        <v>1.57</v>
      </c>
      <c r="D270" s="10">
        <v>300</v>
      </c>
      <c r="E270" s="10">
        <v>145</v>
      </c>
      <c r="F270" s="1">
        <v>95.024999999999991</v>
      </c>
      <c r="G270" s="1">
        <f t="shared" si="12"/>
        <v>3.0030030030030028</v>
      </c>
      <c r="H270" s="1">
        <f t="shared" si="13"/>
        <v>63.630573248407643</v>
      </c>
      <c r="I270" s="1">
        <v>0.11179301892324536</v>
      </c>
      <c r="J270" s="1">
        <v>0.17058655873581247</v>
      </c>
      <c r="K270" s="1">
        <v>64088.028000000035</v>
      </c>
      <c r="L270" s="1">
        <v>375692.13233999995</v>
      </c>
      <c r="M270">
        <v>342</v>
      </c>
      <c r="N270" s="6">
        <v>0</v>
      </c>
    </row>
    <row r="271" spans="1:14" x14ac:dyDescent="0.25">
      <c r="A271" s="10">
        <v>99.6</v>
      </c>
      <c r="B271" s="10">
        <v>44.7</v>
      </c>
      <c r="C271" s="10">
        <v>2.9</v>
      </c>
      <c r="D271" s="10">
        <v>300</v>
      </c>
      <c r="E271" s="10">
        <v>228</v>
      </c>
      <c r="F271" s="1">
        <v>31.587499999999999</v>
      </c>
      <c r="G271" s="1">
        <f t="shared" si="12"/>
        <v>3.0120481927710845</v>
      </c>
      <c r="H271" s="1">
        <f t="shared" si="13"/>
        <v>34.344827586206897</v>
      </c>
      <c r="I271" s="1">
        <v>0.22015336464939328</v>
      </c>
      <c r="J271" s="1">
        <v>1.5890769177700568</v>
      </c>
      <c r="K271" s="1">
        <v>183152.39999999985</v>
      </c>
      <c r="L271" s="1">
        <v>115257.10175000002</v>
      </c>
      <c r="M271">
        <v>237</v>
      </c>
      <c r="N271" s="6">
        <v>0</v>
      </c>
    </row>
    <row r="272" spans="1:14" x14ac:dyDescent="0.25">
      <c r="A272" s="10">
        <v>99.7</v>
      </c>
      <c r="B272" s="10">
        <v>44.1</v>
      </c>
      <c r="C272" s="10">
        <v>2.9</v>
      </c>
      <c r="D272" s="10">
        <v>300</v>
      </c>
      <c r="E272" s="10">
        <v>228</v>
      </c>
      <c r="F272" s="1">
        <v>65.099999999999994</v>
      </c>
      <c r="G272" s="1">
        <f t="shared" si="12"/>
        <v>3.009027081243731</v>
      </c>
      <c r="H272" s="1">
        <f t="shared" si="13"/>
        <v>34.379310344827587</v>
      </c>
      <c r="I272" s="1">
        <v>0.22255774572694118</v>
      </c>
      <c r="J272" s="1">
        <v>0.77946491591002454</v>
      </c>
      <c r="K272" s="1">
        <v>182491.19999999992</v>
      </c>
      <c r="L272" s="1">
        <v>234123.68700000003</v>
      </c>
      <c r="M272">
        <v>271</v>
      </c>
      <c r="N272" s="6">
        <v>0</v>
      </c>
    </row>
    <row r="273" spans="1:14" x14ac:dyDescent="0.25">
      <c r="A273" s="10">
        <v>99.8</v>
      </c>
      <c r="B273" s="10">
        <v>44.2</v>
      </c>
      <c r="C273" s="10">
        <v>2.9</v>
      </c>
      <c r="D273" s="10">
        <v>300</v>
      </c>
      <c r="E273" s="10">
        <v>228</v>
      </c>
      <c r="F273" s="1">
        <v>95.024999999999991</v>
      </c>
      <c r="G273" s="1">
        <f t="shared" si="12"/>
        <v>3.0060120240480961</v>
      </c>
      <c r="H273" s="1">
        <f t="shared" si="13"/>
        <v>34.413793103448278</v>
      </c>
      <c r="I273" s="1">
        <v>0.22206338652482252</v>
      </c>
      <c r="J273" s="1">
        <v>0.53281191399799566</v>
      </c>
      <c r="K273" s="1">
        <v>182755.67999999988</v>
      </c>
      <c r="L273" s="1">
        <v>343002.24</v>
      </c>
      <c r="M273">
        <v>344</v>
      </c>
      <c r="N273" s="6">
        <v>0</v>
      </c>
    </row>
    <row r="274" spans="1:14" x14ac:dyDescent="0.25">
      <c r="A274" s="10">
        <v>100.2</v>
      </c>
      <c r="B274" s="10">
        <v>100.2</v>
      </c>
      <c r="C274" s="10">
        <v>2.1800000000000002</v>
      </c>
      <c r="D274" s="10">
        <v>300</v>
      </c>
      <c r="E274" s="10">
        <v>300</v>
      </c>
      <c r="F274" s="1">
        <v>22.487499999999997</v>
      </c>
      <c r="G274" s="1">
        <f t="shared" si="12"/>
        <v>2.9940119760479043</v>
      </c>
      <c r="H274" s="1">
        <f t="shared" si="13"/>
        <v>45.963302752293579</v>
      </c>
      <c r="I274" s="1">
        <v>9.3054541375302655E-2</v>
      </c>
      <c r="J274" s="1">
        <v>1.2414168943898076</v>
      </c>
      <c r="K274" s="1">
        <v>256420.3199999998</v>
      </c>
      <c r="L274" s="1">
        <v>206554.55968000001</v>
      </c>
      <c r="M274">
        <v>411</v>
      </c>
      <c r="N274" s="6">
        <v>0</v>
      </c>
    </row>
    <row r="275" spans="1:14" x14ac:dyDescent="0.25">
      <c r="A275" s="10">
        <v>200.3</v>
      </c>
      <c r="B275" s="10">
        <v>200.3</v>
      </c>
      <c r="C275" s="10">
        <v>4.3499999999999996</v>
      </c>
      <c r="D275" s="10">
        <v>601</v>
      </c>
      <c r="E275" s="10">
        <v>323</v>
      </c>
      <c r="F275" s="1">
        <v>25.9</v>
      </c>
      <c r="G275" s="1">
        <f t="shared" si="12"/>
        <v>3.0004992511233151</v>
      </c>
      <c r="H275" s="1">
        <f t="shared" si="13"/>
        <v>46.045977011494259</v>
      </c>
      <c r="I275" s="1">
        <v>9.2876000801948827E-2</v>
      </c>
      <c r="J275" s="1">
        <v>1.1582605505416785</v>
      </c>
      <c r="K275" s="1">
        <v>1101278.1899999974</v>
      </c>
      <c r="L275" s="1">
        <v>950803.50400000031</v>
      </c>
      <c r="M275">
        <v>1613</v>
      </c>
      <c r="N275" s="6">
        <v>0</v>
      </c>
    </row>
    <row r="276" spans="1:14" x14ac:dyDescent="0.25">
      <c r="A276" s="10">
        <v>300.5</v>
      </c>
      <c r="B276" s="10">
        <v>300.5</v>
      </c>
      <c r="C276" s="10">
        <v>6.1</v>
      </c>
      <c r="D276" s="10">
        <v>902</v>
      </c>
      <c r="E276" s="10">
        <v>395</v>
      </c>
      <c r="F276" s="1">
        <v>23.187499999999996</v>
      </c>
      <c r="G276" s="1">
        <f t="shared" si="12"/>
        <v>3.0016638935108153</v>
      </c>
      <c r="H276" s="1">
        <f t="shared" si="13"/>
        <v>49.262295081967217</v>
      </c>
      <c r="I276" s="1">
        <v>8.6424792842946851E-2</v>
      </c>
      <c r="J276" s="1">
        <v>1.4722498403434614</v>
      </c>
      <c r="K276" s="1">
        <v>2837427.2</v>
      </c>
      <c r="L276" s="1">
        <v>1927272.8868749996</v>
      </c>
      <c r="M276">
        <v>2766</v>
      </c>
      <c r="N276" s="6">
        <v>0</v>
      </c>
    </row>
    <row r="277" spans="1:14" x14ac:dyDescent="0.25">
      <c r="A277" s="10">
        <v>100</v>
      </c>
      <c r="B277" s="10">
        <v>100</v>
      </c>
      <c r="C277" s="10">
        <v>2.1800000000000002</v>
      </c>
      <c r="D277" s="10">
        <v>300</v>
      </c>
      <c r="E277" s="10">
        <v>300</v>
      </c>
      <c r="F277" s="1">
        <v>46.98749999999999</v>
      </c>
      <c r="G277" s="1">
        <f t="shared" si="12"/>
        <v>3</v>
      </c>
      <c r="H277" s="1">
        <f t="shared" si="13"/>
        <v>45.871559633027516</v>
      </c>
      <c r="I277" s="1">
        <v>9.325347160453408E-2</v>
      </c>
      <c r="J277" s="1">
        <v>0.59539327441043322</v>
      </c>
      <c r="K277" s="1">
        <v>255897.12000000017</v>
      </c>
      <c r="L277" s="1">
        <v>429795.11357999989</v>
      </c>
      <c r="M277">
        <v>697</v>
      </c>
      <c r="N277" s="6">
        <v>0</v>
      </c>
    </row>
    <row r="278" spans="1:14" x14ac:dyDescent="0.25">
      <c r="A278" s="10">
        <v>200.1</v>
      </c>
      <c r="B278" s="10">
        <v>200.1</v>
      </c>
      <c r="C278" s="10">
        <v>4.3499999999999996</v>
      </c>
      <c r="D278" s="10">
        <v>601</v>
      </c>
      <c r="E278" s="10">
        <v>323</v>
      </c>
      <c r="F278" s="1">
        <v>50.662499999999987</v>
      </c>
      <c r="G278" s="1">
        <f t="shared" si="12"/>
        <v>3.0034982508745629</v>
      </c>
      <c r="H278" s="1">
        <f t="shared" si="13"/>
        <v>46</v>
      </c>
      <c r="I278" s="1">
        <v>9.2975206611570133E-2</v>
      </c>
      <c r="J278" s="1">
        <v>0.59276568932715834</v>
      </c>
      <c r="K278" s="1">
        <v>1100154.1499999985</v>
      </c>
      <c r="L278" s="1">
        <v>1855967.9984999995</v>
      </c>
      <c r="M278">
        <v>2563</v>
      </c>
      <c r="N278" s="6">
        <v>0</v>
      </c>
    </row>
    <row r="279" spans="1:14" x14ac:dyDescent="0.25">
      <c r="A279" s="10">
        <v>300.60000000000002</v>
      </c>
      <c r="B279" s="10">
        <v>300.60000000000002</v>
      </c>
      <c r="C279" s="10">
        <v>6.1</v>
      </c>
      <c r="D279" s="10">
        <v>902</v>
      </c>
      <c r="E279" s="10">
        <v>395</v>
      </c>
      <c r="F279" s="1">
        <v>51.537499999999994</v>
      </c>
      <c r="G279" s="1">
        <f t="shared" si="12"/>
        <v>3.0006653359946771</v>
      </c>
      <c r="H279" s="1">
        <f t="shared" si="13"/>
        <v>49.278688524590173</v>
      </c>
      <c r="I279" s="1">
        <v>8.6394205151190298E-2</v>
      </c>
      <c r="J279" s="1">
        <v>0.66215301546873961</v>
      </c>
      <c r="K279" s="1">
        <v>2838390.9999999953</v>
      </c>
      <c r="L279" s="1">
        <v>4286608.8860000009</v>
      </c>
      <c r="M279">
        <v>5481</v>
      </c>
      <c r="N279" s="6">
        <v>0</v>
      </c>
    </row>
    <row r="280" spans="1:14" x14ac:dyDescent="0.25">
      <c r="A280" s="10">
        <v>101.1</v>
      </c>
      <c r="B280" s="10">
        <v>101.1</v>
      </c>
      <c r="C280" s="10">
        <v>2.1800000000000002</v>
      </c>
      <c r="D280" s="10">
        <v>300</v>
      </c>
      <c r="E280" s="10">
        <v>300</v>
      </c>
      <c r="F280" s="1">
        <v>53.374999999999993</v>
      </c>
      <c r="G280" s="1">
        <f t="shared" si="12"/>
        <v>2.9673590504451042</v>
      </c>
      <c r="H280" s="1">
        <f t="shared" si="13"/>
        <v>46.376146788990823</v>
      </c>
      <c r="I280" s="1">
        <v>9.2169753607890037E-2</v>
      </c>
      <c r="J280" s="1">
        <v>0.51805013737455763</v>
      </c>
      <c r="K280" s="1">
        <v>258774.7199999998</v>
      </c>
      <c r="L280" s="1">
        <v>499516.74814999994</v>
      </c>
      <c r="M280">
        <v>783</v>
      </c>
      <c r="N280" s="6">
        <v>0</v>
      </c>
    </row>
    <row r="281" spans="1:14" x14ac:dyDescent="0.25">
      <c r="A281" s="10">
        <v>200.2</v>
      </c>
      <c r="B281" s="10">
        <v>200.2</v>
      </c>
      <c r="C281" s="10">
        <v>4.3499999999999996</v>
      </c>
      <c r="D281" s="10">
        <v>601</v>
      </c>
      <c r="E281" s="10">
        <v>323</v>
      </c>
      <c r="F281" s="1">
        <v>55.73749999999999</v>
      </c>
      <c r="G281" s="1">
        <f t="shared" si="12"/>
        <v>3.0019980019980022</v>
      </c>
      <c r="H281" s="1">
        <f t="shared" si="13"/>
        <v>46.022988505747129</v>
      </c>
      <c r="I281" s="1">
        <v>9.2925577241647114E-2</v>
      </c>
      <c r="J281" s="1">
        <v>0.53850569991571251</v>
      </c>
      <c r="K281" s="1">
        <v>1100716.1699999978</v>
      </c>
      <c r="L281" s="1">
        <v>2044019.5343749996</v>
      </c>
      <c r="M281">
        <v>2825</v>
      </c>
      <c r="N281" s="6">
        <v>0</v>
      </c>
    </row>
    <row r="282" spans="1:14" x14ac:dyDescent="0.25">
      <c r="A282" s="10">
        <v>100.2</v>
      </c>
      <c r="B282" s="10">
        <v>100.2</v>
      </c>
      <c r="C282" s="10">
        <v>2.1800000000000002</v>
      </c>
      <c r="D282" s="10">
        <v>300</v>
      </c>
      <c r="E282" s="10">
        <v>300</v>
      </c>
      <c r="F282" s="1">
        <v>22.487499999999997</v>
      </c>
      <c r="G282" s="1">
        <f t="shared" si="12"/>
        <v>2.9940119760479043</v>
      </c>
      <c r="H282" s="1">
        <f t="shared" si="13"/>
        <v>45.963302752293579</v>
      </c>
      <c r="I282" s="1">
        <v>9.3054541375302655E-2</v>
      </c>
      <c r="J282" s="1">
        <v>1.2414168943898076</v>
      </c>
      <c r="K282" s="1">
        <v>256420.3199999998</v>
      </c>
      <c r="L282" s="1">
        <v>206554.55968000001</v>
      </c>
      <c r="M282">
        <v>609</v>
      </c>
      <c r="N282" s="6">
        <v>0</v>
      </c>
    </row>
    <row r="283" spans="1:14" x14ac:dyDescent="0.25">
      <c r="A283" s="10">
        <v>200.3</v>
      </c>
      <c r="B283" s="10">
        <v>200.3</v>
      </c>
      <c r="C283" s="10">
        <v>4.3499999999999996</v>
      </c>
      <c r="D283" s="10">
        <v>601</v>
      </c>
      <c r="E283" s="10">
        <v>323</v>
      </c>
      <c r="F283" s="1">
        <v>25.9</v>
      </c>
      <c r="G283" s="1">
        <f t="shared" si="12"/>
        <v>3.0004992511233151</v>
      </c>
      <c r="H283" s="1">
        <f t="shared" si="13"/>
        <v>46.045977011494259</v>
      </c>
      <c r="I283" s="1">
        <v>9.2876000801948827E-2</v>
      </c>
      <c r="J283" s="1">
        <v>1.1582605505416785</v>
      </c>
      <c r="K283" s="1">
        <v>1101278.1899999974</v>
      </c>
      <c r="L283" s="1">
        <v>950803.50400000031</v>
      </c>
      <c r="M283">
        <v>2230</v>
      </c>
      <c r="N283" s="6">
        <v>0</v>
      </c>
    </row>
    <row r="284" spans="1:14" x14ac:dyDescent="0.25">
      <c r="A284" s="10">
        <v>300.5</v>
      </c>
      <c r="B284" s="10">
        <v>300.5</v>
      </c>
      <c r="C284" s="10">
        <v>6.1</v>
      </c>
      <c r="D284" s="10">
        <v>902</v>
      </c>
      <c r="E284" s="10">
        <v>395</v>
      </c>
      <c r="F284" s="1">
        <v>23.187499999999996</v>
      </c>
      <c r="G284" s="1">
        <f t="shared" si="12"/>
        <v>3.0016638935108153</v>
      </c>
      <c r="H284" s="1">
        <f t="shared" si="13"/>
        <v>49.262295081967217</v>
      </c>
      <c r="I284" s="1">
        <v>8.6424792842946851E-2</v>
      </c>
      <c r="J284" s="1">
        <v>1.4722498403434614</v>
      </c>
      <c r="K284" s="1">
        <v>2837427.2</v>
      </c>
      <c r="L284" s="1">
        <v>1927272.8868749996</v>
      </c>
      <c r="M284">
        <v>5102</v>
      </c>
      <c r="N284" s="6">
        <v>0</v>
      </c>
    </row>
    <row r="285" spans="1:14" x14ac:dyDescent="0.25">
      <c r="A285" s="10">
        <v>100.1</v>
      </c>
      <c r="B285" s="10">
        <v>100.1</v>
      </c>
      <c r="C285" s="10">
        <v>2.1800000000000002</v>
      </c>
      <c r="D285" s="10">
        <v>300</v>
      </c>
      <c r="E285" s="10">
        <v>300</v>
      </c>
      <c r="F285" s="1">
        <v>46.98749999999999</v>
      </c>
      <c r="G285" s="1">
        <f t="shared" si="12"/>
        <v>2.9970029970029972</v>
      </c>
      <c r="H285" s="1">
        <f t="shared" si="13"/>
        <v>45.917431192660544</v>
      </c>
      <c r="I285" s="1">
        <v>9.3153900336494705E-2</v>
      </c>
      <c r="J285" s="1">
        <v>0.59475754404785142</v>
      </c>
      <c r="K285" s="1">
        <v>256158.72</v>
      </c>
      <c r="L285" s="1">
        <v>430694.36035499984</v>
      </c>
      <c r="M285">
        <v>851</v>
      </c>
      <c r="N285" s="6">
        <v>0</v>
      </c>
    </row>
    <row r="286" spans="1:14" x14ac:dyDescent="0.25">
      <c r="A286" s="10">
        <v>200.1</v>
      </c>
      <c r="B286" s="10">
        <v>200.1</v>
      </c>
      <c r="C286" s="10">
        <v>4.3499999999999996</v>
      </c>
      <c r="D286" s="10">
        <v>601</v>
      </c>
      <c r="E286" s="10">
        <v>323</v>
      </c>
      <c r="F286" s="1">
        <v>50.662499999999987</v>
      </c>
      <c r="G286" s="1">
        <f t="shared" si="12"/>
        <v>3.0034982508745629</v>
      </c>
      <c r="H286" s="1">
        <f t="shared" si="13"/>
        <v>46</v>
      </c>
      <c r="I286" s="1">
        <v>9.2975206611570133E-2</v>
      </c>
      <c r="J286" s="1">
        <v>0.59276568932715834</v>
      </c>
      <c r="K286" s="1">
        <v>1100154.1499999985</v>
      </c>
      <c r="L286" s="1">
        <v>1855967.9984999995</v>
      </c>
      <c r="M286">
        <v>3201</v>
      </c>
      <c r="N286" s="6">
        <v>0</v>
      </c>
    </row>
    <row r="287" spans="1:14" x14ac:dyDescent="0.25">
      <c r="A287" s="10">
        <v>300.7</v>
      </c>
      <c r="B287" s="10">
        <v>300.7</v>
      </c>
      <c r="C287" s="10">
        <v>6.1</v>
      </c>
      <c r="D287" s="10">
        <v>902</v>
      </c>
      <c r="E287" s="10">
        <v>395</v>
      </c>
      <c r="F287" s="1">
        <v>45.674999999999997</v>
      </c>
      <c r="G287" s="1">
        <f t="shared" si="12"/>
        <v>2.9996674426338545</v>
      </c>
      <c r="H287" s="1">
        <f t="shared" si="13"/>
        <v>49.295081967213115</v>
      </c>
      <c r="I287" s="1">
        <v>8.6363639094221178E-2</v>
      </c>
      <c r="J287" s="1">
        <v>0.74687766704362046</v>
      </c>
      <c r="K287" s="1">
        <v>2839354.7999999961</v>
      </c>
      <c r="L287" s="1">
        <v>3801633.0187499998</v>
      </c>
      <c r="M287">
        <v>6494</v>
      </c>
      <c r="N287" s="6">
        <v>0</v>
      </c>
    </row>
    <row r="288" spans="1:14" x14ac:dyDescent="0.25">
      <c r="A288" s="10">
        <v>100.1</v>
      </c>
      <c r="B288" s="10">
        <v>100.1</v>
      </c>
      <c r="C288" s="10">
        <v>2.1800000000000002</v>
      </c>
      <c r="D288" s="10">
        <v>300</v>
      </c>
      <c r="E288" s="10">
        <v>300</v>
      </c>
      <c r="F288" s="1">
        <v>53.374999999999993</v>
      </c>
      <c r="G288" s="1">
        <f t="shared" si="12"/>
        <v>2.9970029970029972</v>
      </c>
      <c r="H288" s="1">
        <f t="shared" si="13"/>
        <v>45.917431192660544</v>
      </c>
      <c r="I288" s="1">
        <v>9.3153900336494705E-2</v>
      </c>
      <c r="J288" s="1">
        <v>0.5235816412355675</v>
      </c>
      <c r="K288" s="1">
        <v>256158.72</v>
      </c>
      <c r="L288" s="1">
        <v>489243.12814999983</v>
      </c>
      <c r="M288">
        <v>911</v>
      </c>
      <c r="N288" s="6">
        <v>0</v>
      </c>
    </row>
    <row r="289" spans="1:14" x14ac:dyDescent="0.25">
      <c r="A289" s="10">
        <v>200.3</v>
      </c>
      <c r="B289" s="10">
        <v>200.3</v>
      </c>
      <c r="C289" s="10">
        <v>4.3499999999999996</v>
      </c>
      <c r="D289" s="10">
        <v>601</v>
      </c>
      <c r="E289" s="10">
        <v>323</v>
      </c>
      <c r="F289" s="1">
        <v>55.73749999999999</v>
      </c>
      <c r="G289" s="1">
        <f t="shared" si="12"/>
        <v>3.0004992511233151</v>
      </c>
      <c r="H289" s="1">
        <f t="shared" si="13"/>
        <v>46.045977011494259</v>
      </c>
      <c r="I289" s="1">
        <v>9.2876000801948827E-2</v>
      </c>
      <c r="J289" s="1">
        <v>0.53821840339142368</v>
      </c>
      <c r="K289" s="1">
        <v>1101278.1899999974</v>
      </c>
      <c r="L289" s="1">
        <v>2046154.8380000002</v>
      </c>
      <c r="M289">
        <v>3417</v>
      </c>
      <c r="N289" s="6">
        <v>0</v>
      </c>
    </row>
    <row r="290" spans="1:14" x14ac:dyDescent="0.25">
      <c r="A290" s="10">
        <v>200</v>
      </c>
      <c r="B290" s="10">
        <v>200</v>
      </c>
      <c r="C290" s="10">
        <v>3</v>
      </c>
      <c r="D290" s="10">
        <v>600</v>
      </c>
      <c r="E290" s="10">
        <v>303.5</v>
      </c>
      <c r="F290" s="1">
        <v>40.949999999999996</v>
      </c>
      <c r="G290" s="1">
        <f t="shared" si="12"/>
        <v>3</v>
      </c>
      <c r="H290" s="1">
        <f t="shared" si="13"/>
        <v>66.666666666666671</v>
      </c>
      <c r="I290" s="1">
        <v>6.2812201084068445E-2</v>
      </c>
      <c r="J290" s="1">
        <v>0.4655312094997503</v>
      </c>
      <c r="K290" s="1">
        <v>717474</v>
      </c>
      <c r="L290" s="1">
        <v>1541194.2</v>
      </c>
      <c r="M290">
        <v>2458</v>
      </c>
      <c r="N290" s="6">
        <v>0</v>
      </c>
    </row>
    <row r="291" spans="1:14" x14ac:dyDescent="0.25">
      <c r="A291" s="10">
        <v>200</v>
      </c>
      <c r="B291" s="10">
        <v>200</v>
      </c>
      <c r="C291" s="10">
        <v>3</v>
      </c>
      <c r="D291" s="10">
        <v>601</v>
      </c>
      <c r="E291" s="10">
        <v>303.5</v>
      </c>
      <c r="F291" s="1">
        <v>40.949999999999996</v>
      </c>
      <c r="G291" s="1">
        <f t="shared" si="12"/>
        <v>3.0049999999999999</v>
      </c>
      <c r="H291" s="1">
        <f t="shared" si="13"/>
        <v>66.666666666666671</v>
      </c>
      <c r="I291" s="1">
        <v>6.2812201084068445E-2</v>
      </c>
      <c r="J291" s="1">
        <v>0.4655312094997503</v>
      </c>
      <c r="K291" s="1">
        <v>717474</v>
      </c>
      <c r="L291" s="1">
        <v>1541194.2</v>
      </c>
      <c r="M291">
        <v>2594</v>
      </c>
      <c r="N291" s="6">
        <v>0</v>
      </c>
    </row>
    <row r="292" spans="1:14" x14ac:dyDescent="0.25">
      <c r="A292" s="10">
        <v>200</v>
      </c>
      <c r="B292" s="10">
        <v>200</v>
      </c>
      <c r="C292" s="10">
        <v>3</v>
      </c>
      <c r="D292" s="10">
        <v>602</v>
      </c>
      <c r="E292" s="10">
        <v>303.5</v>
      </c>
      <c r="F292" s="1">
        <v>40.949999999999996</v>
      </c>
      <c r="G292" s="1">
        <f t="shared" si="12"/>
        <v>3.01</v>
      </c>
      <c r="H292" s="1">
        <f t="shared" si="13"/>
        <v>66.666666666666671</v>
      </c>
      <c r="I292" s="1">
        <v>6.2812201084068445E-2</v>
      </c>
      <c r="J292" s="1">
        <v>0.4655312094997503</v>
      </c>
      <c r="K292" s="1">
        <v>717474</v>
      </c>
      <c r="L292" s="1">
        <v>1541194.2</v>
      </c>
      <c r="M292">
        <v>2306</v>
      </c>
      <c r="N292" s="6">
        <v>0</v>
      </c>
    </row>
    <row r="293" spans="1:14" x14ac:dyDescent="0.25">
      <c r="A293" s="10">
        <v>200</v>
      </c>
      <c r="B293" s="10">
        <v>200</v>
      </c>
      <c r="C293" s="10">
        <v>3</v>
      </c>
      <c r="D293" s="10">
        <v>603</v>
      </c>
      <c r="E293" s="10">
        <v>303.5</v>
      </c>
      <c r="F293" s="1">
        <v>40.949999999999996</v>
      </c>
      <c r="G293" s="1">
        <f t="shared" si="12"/>
        <v>3.0150000000000001</v>
      </c>
      <c r="H293" s="1">
        <f t="shared" si="13"/>
        <v>66.666666666666671</v>
      </c>
      <c r="I293" s="1">
        <v>6.2812201084068445E-2</v>
      </c>
      <c r="J293" s="1">
        <v>0.4655312094997503</v>
      </c>
      <c r="K293" s="1">
        <v>717474</v>
      </c>
      <c r="L293" s="1">
        <v>1541194.2</v>
      </c>
      <c r="M293">
        <v>2284</v>
      </c>
      <c r="N293" s="6">
        <v>0</v>
      </c>
    </row>
    <row r="294" spans="1:14" x14ac:dyDescent="0.25">
      <c r="A294" s="10">
        <v>200</v>
      </c>
      <c r="B294" s="10">
        <v>200</v>
      </c>
      <c r="C294" s="10">
        <v>3</v>
      </c>
      <c r="D294" s="10">
        <v>604</v>
      </c>
      <c r="E294" s="10">
        <v>303.5</v>
      </c>
      <c r="F294" s="1">
        <v>40.949999999999996</v>
      </c>
      <c r="G294" s="1">
        <f t="shared" si="12"/>
        <v>3.02</v>
      </c>
      <c r="H294" s="1">
        <f t="shared" si="13"/>
        <v>66.666666666666671</v>
      </c>
      <c r="I294" s="1">
        <v>6.2812201084068445E-2</v>
      </c>
      <c r="J294" s="1">
        <v>0.4655312094997503</v>
      </c>
      <c r="K294" s="1">
        <v>717474</v>
      </c>
      <c r="L294" s="1">
        <v>1541194.2</v>
      </c>
      <c r="M294">
        <v>2550</v>
      </c>
      <c r="N294" s="6">
        <v>0</v>
      </c>
    </row>
    <row r="295" spans="1:14" x14ac:dyDescent="0.25">
      <c r="A295" s="10">
        <v>200</v>
      </c>
      <c r="B295" s="10">
        <v>200</v>
      </c>
      <c r="C295" s="10">
        <v>3</v>
      </c>
      <c r="D295" s="10">
        <v>605</v>
      </c>
      <c r="E295" s="10">
        <v>303.5</v>
      </c>
      <c r="F295" s="1">
        <v>40.949999999999996</v>
      </c>
      <c r="G295" s="1">
        <f t="shared" si="12"/>
        <v>3.0249999999999999</v>
      </c>
      <c r="H295" s="1">
        <f t="shared" si="13"/>
        <v>66.666666666666671</v>
      </c>
      <c r="I295" s="1">
        <v>6.2812201084068445E-2</v>
      </c>
      <c r="J295" s="1">
        <v>0.4655312094997503</v>
      </c>
      <c r="K295" s="1">
        <v>717474</v>
      </c>
      <c r="L295" s="1">
        <v>1541194.2</v>
      </c>
      <c r="M295">
        <v>2587</v>
      </c>
      <c r="N295" s="6">
        <v>0</v>
      </c>
    </row>
    <row r="296" spans="1:14" x14ac:dyDescent="0.25">
      <c r="A296" s="10">
        <v>100</v>
      </c>
      <c r="B296" s="10">
        <v>180</v>
      </c>
      <c r="C296" s="10">
        <v>5.8</v>
      </c>
      <c r="D296" s="10">
        <v>540</v>
      </c>
      <c r="E296" s="10">
        <v>300</v>
      </c>
      <c r="F296" s="1">
        <v>65.362499999999997</v>
      </c>
      <c r="G296" s="1">
        <f t="shared" si="12"/>
        <v>5.4</v>
      </c>
      <c r="H296" s="1">
        <f t="shared" si="13"/>
        <v>17.241379310344829</v>
      </c>
      <c r="I296" s="1">
        <v>0.20914435571414741</v>
      </c>
      <c r="J296" s="1">
        <v>0.95992819604886948</v>
      </c>
      <c r="K296" s="1">
        <v>934031.99999999965</v>
      </c>
      <c r="L296" s="1">
        <v>973022.77800000005</v>
      </c>
      <c r="M296">
        <v>2059</v>
      </c>
      <c r="N296" s="6">
        <v>0</v>
      </c>
    </row>
    <row r="297" spans="1:14" x14ac:dyDescent="0.25">
      <c r="A297" s="10">
        <v>100</v>
      </c>
      <c r="B297" s="10">
        <v>180</v>
      </c>
      <c r="C297" s="10">
        <v>5.8</v>
      </c>
      <c r="D297" s="10">
        <v>540</v>
      </c>
      <c r="E297" s="10">
        <v>300</v>
      </c>
      <c r="F297" s="1">
        <v>65.362499999999997</v>
      </c>
      <c r="G297" s="1">
        <f t="shared" si="12"/>
        <v>5.4</v>
      </c>
      <c r="H297" s="1">
        <f t="shared" si="13"/>
        <v>17.241379310344829</v>
      </c>
      <c r="I297" s="1">
        <v>0.20914435571414741</v>
      </c>
      <c r="J297" s="1">
        <v>0.95992819604886948</v>
      </c>
      <c r="K297" s="1">
        <v>934031.99999999965</v>
      </c>
      <c r="L297" s="1">
        <v>973022.77800000005</v>
      </c>
      <c r="M297">
        <v>2019</v>
      </c>
      <c r="N297" s="6">
        <v>0</v>
      </c>
    </row>
    <row r="298" spans="1:14" x14ac:dyDescent="0.25">
      <c r="A298" s="10">
        <v>100</v>
      </c>
      <c r="B298" s="10">
        <v>180</v>
      </c>
      <c r="C298" s="10">
        <v>5.8</v>
      </c>
      <c r="D298" s="10">
        <v>540</v>
      </c>
      <c r="E298" s="10">
        <v>300</v>
      </c>
      <c r="F298" s="1">
        <v>80.499999999999986</v>
      </c>
      <c r="G298" s="1">
        <f t="shared" si="12"/>
        <v>5.4</v>
      </c>
      <c r="H298" s="1">
        <f t="shared" si="13"/>
        <v>17.241379310344829</v>
      </c>
      <c r="I298" s="1">
        <v>0.20914435571414741</v>
      </c>
      <c r="J298" s="1">
        <v>0.77941995918315832</v>
      </c>
      <c r="K298" s="1">
        <v>934031.99999999965</v>
      </c>
      <c r="L298" s="1">
        <v>1198368.0799999998</v>
      </c>
      <c r="M298">
        <v>2287</v>
      </c>
      <c r="N298" s="6">
        <v>0</v>
      </c>
    </row>
    <row r="299" spans="1:14" x14ac:dyDescent="0.25">
      <c r="A299" s="10">
        <v>100</v>
      </c>
      <c r="B299" s="10">
        <v>180</v>
      </c>
      <c r="C299" s="10">
        <v>5.8</v>
      </c>
      <c r="D299" s="10">
        <v>540</v>
      </c>
      <c r="E299" s="10">
        <v>300</v>
      </c>
      <c r="F299" s="1">
        <v>80.499999999999986</v>
      </c>
      <c r="G299" s="1">
        <f t="shared" si="12"/>
        <v>5.4</v>
      </c>
      <c r="H299" s="1">
        <f t="shared" si="13"/>
        <v>17.241379310344829</v>
      </c>
      <c r="I299" s="1">
        <v>0.20914435571414741</v>
      </c>
      <c r="J299" s="1">
        <v>0.77941995918315832</v>
      </c>
      <c r="K299" s="1">
        <v>934031.99999999965</v>
      </c>
      <c r="L299" s="1">
        <v>1198368.0799999998</v>
      </c>
      <c r="M299">
        <v>2291</v>
      </c>
      <c r="N299" s="6">
        <v>0</v>
      </c>
    </row>
    <row r="300" spans="1:14" x14ac:dyDescent="0.25">
      <c r="A300" s="10">
        <v>100</v>
      </c>
      <c r="B300" s="10">
        <v>180</v>
      </c>
      <c r="C300" s="10">
        <v>5.8</v>
      </c>
      <c r="D300" s="10">
        <v>450</v>
      </c>
      <c r="E300" s="10">
        <v>300</v>
      </c>
      <c r="F300" s="1">
        <v>48.999999999999993</v>
      </c>
      <c r="G300" s="1">
        <f t="shared" si="12"/>
        <v>4.5</v>
      </c>
      <c r="H300" s="1">
        <f t="shared" si="13"/>
        <v>17.241379310344829</v>
      </c>
      <c r="I300" s="1">
        <v>0.20914435571414741</v>
      </c>
      <c r="J300" s="1">
        <v>1.2804756472294743</v>
      </c>
      <c r="K300" s="1">
        <v>934031.99999999965</v>
      </c>
      <c r="L300" s="1">
        <v>729441.44</v>
      </c>
      <c r="M300">
        <v>1815</v>
      </c>
      <c r="N300" s="6">
        <v>0</v>
      </c>
    </row>
    <row r="301" spans="1:14" x14ac:dyDescent="0.25">
      <c r="A301" s="10">
        <v>100</v>
      </c>
      <c r="B301" s="10">
        <v>180</v>
      </c>
      <c r="C301" s="10">
        <v>5.8</v>
      </c>
      <c r="D301" s="10">
        <v>450</v>
      </c>
      <c r="E301" s="10">
        <v>300</v>
      </c>
      <c r="F301" s="1">
        <v>48.999999999999993</v>
      </c>
      <c r="G301" s="1">
        <f t="shared" si="12"/>
        <v>4.5</v>
      </c>
      <c r="H301" s="1">
        <f t="shared" si="13"/>
        <v>17.241379310344829</v>
      </c>
      <c r="I301" s="1">
        <v>0.20914435571414741</v>
      </c>
      <c r="J301" s="1">
        <v>1.2804756472294743</v>
      </c>
      <c r="K301" s="1">
        <v>934031.99999999965</v>
      </c>
      <c r="L301" s="1">
        <v>729441.44</v>
      </c>
      <c r="M301">
        <v>1763</v>
      </c>
      <c r="N301" s="6">
        <v>0</v>
      </c>
    </row>
    <row r="302" spans="1:14" x14ac:dyDescent="0.25">
      <c r="A302" s="10">
        <v>100</v>
      </c>
      <c r="B302" s="10">
        <v>180</v>
      </c>
      <c r="C302" s="10">
        <v>5.8</v>
      </c>
      <c r="D302" s="10">
        <v>540</v>
      </c>
      <c r="E302" s="10">
        <v>300</v>
      </c>
      <c r="F302" s="1">
        <v>48.999999999999993</v>
      </c>
      <c r="G302" s="1">
        <f t="shared" si="12"/>
        <v>5.4</v>
      </c>
      <c r="H302" s="1">
        <f t="shared" si="13"/>
        <v>17.241379310344829</v>
      </c>
      <c r="I302" s="1">
        <v>0.20914435571414741</v>
      </c>
      <c r="J302" s="1">
        <v>1.2804756472294743</v>
      </c>
      <c r="K302" s="1">
        <v>934031.99999999965</v>
      </c>
      <c r="L302" s="1">
        <v>729441.44</v>
      </c>
      <c r="M302">
        <v>1725</v>
      </c>
      <c r="N302" s="6">
        <v>0</v>
      </c>
    </row>
    <row r="303" spans="1:14" x14ac:dyDescent="0.25">
      <c r="A303" s="10">
        <v>100</v>
      </c>
      <c r="B303" s="10">
        <v>180</v>
      </c>
      <c r="C303" s="10">
        <v>5.8</v>
      </c>
      <c r="D303" s="10">
        <v>540</v>
      </c>
      <c r="E303" s="10">
        <v>300</v>
      </c>
      <c r="F303" s="1">
        <v>48.999999999999993</v>
      </c>
      <c r="G303" s="1">
        <f t="shared" si="12"/>
        <v>5.4</v>
      </c>
      <c r="H303" s="1">
        <f t="shared" si="13"/>
        <v>17.241379310344829</v>
      </c>
      <c r="I303" s="1">
        <v>0.20914435571414741</v>
      </c>
      <c r="J303" s="1">
        <v>1.2804756472294743</v>
      </c>
      <c r="K303" s="1">
        <v>934031.99999999965</v>
      </c>
      <c r="L303" s="1">
        <v>729441.44</v>
      </c>
      <c r="M303">
        <v>1742</v>
      </c>
      <c r="N303" s="6">
        <v>0</v>
      </c>
    </row>
    <row r="304" spans="1:14" x14ac:dyDescent="0.25">
      <c r="A304" s="10">
        <v>100</v>
      </c>
      <c r="B304" s="10">
        <v>180</v>
      </c>
      <c r="C304" s="10">
        <v>5.8</v>
      </c>
      <c r="D304" s="10">
        <v>480</v>
      </c>
      <c r="E304" s="10">
        <v>300</v>
      </c>
      <c r="F304" s="1">
        <v>48.999999999999993</v>
      </c>
      <c r="G304" s="1">
        <f t="shared" si="12"/>
        <v>4.8</v>
      </c>
      <c r="H304" s="1">
        <f t="shared" si="13"/>
        <v>17.241379310344829</v>
      </c>
      <c r="I304" s="1">
        <v>0.20914435571414741</v>
      </c>
      <c r="J304" s="1">
        <v>1.2804756472294743</v>
      </c>
      <c r="K304" s="1">
        <v>934031.99999999965</v>
      </c>
      <c r="L304" s="1">
        <v>729441.44</v>
      </c>
      <c r="M304">
        <v>1947</v>
      </c>
      <c r="N304" s="6">
        <v>0</v>
      </c>
    </row>
    <row r="305" spans="1:14" x14ac:dyDescent="0.25">
      <c r="A305" s="10">
        <v>100</v>
      </c>
      <c r="B305" s="10">
        <v>180</v>
      </c>
      <c r="C305" s="10">
        <v>5.8</v>
      </c>
      <c r="D305" s="10">
        <v>480</v>
      </c>
      <c r="E305" s="10">
        <v>300</v>
      </c>
      <c r="F305" s="1">
        <v>48.999999999999993</v>
      </c>
      <c r="G305" s="1">
        <f t="shared" si="12"/>
        <v>4.8</v>
      </c>
      <c r="H305" s="1">
        <f t="shared" si="13"/>
        <v>17.241379310344829</v>
      </c>
      <c r="I305" s="1">
        <v>0.20914435571414741</v>
      </c>
      <c r="J305" s="1">
        <v>1.2804756472294743</v>
      </c>
      <c r="K305" s="1">
        <v>934031.99999999965</v>
      </c>
      <c r="L305" s="1">
        <v>729441.44</v>
      </c>
      <c r="M305">
        <v>1912</v>
      </c>
      <c r="N305" s="6">
        <v>0</v>
      </c>
    </row>
    <row r="306" spans="1:14" x14ac:dyDescent="0.25">
      <c r="A306" s="10">
        <v>100</v>
      </c>
      <c r="B306" s="10">
        <v>180</v>
      </c>
      <c r="C306" s="10">
        <v>5.8</v>
      </c>
      <c r="D306" s="10">
        <v>570</v>
      </c>
      <c r="E306" s="10">
        <v>300</v>
      </c>
      <c r="F306" s="1">
        <v>48.999999999999993</v>
      </c>
      <c r="G306" s="1">
        <f t="shared" si="12"/>
        <v>5.7</v>
      </c>
      <c r="H306" s="1">
        <f t="shared" si="13"/>
        <v>17.241379310344829</v>
      </c>
      <c r="I306" s="1">
        <v>0.20914435571414741</v>
      </c>
      <c r="J306" s="1">
        <v>1.2804756472294743</v>
      </c>
      <c r="K306" s="1">
        <v>934031.99999999965</v>
      </c>
      <c r="L306" s="1">
        <v>729441.44</v>
      </c>
      <c r="M306">
        <v>2035</v>
      </c>
      <c r="N306" s="6">
        <v>0</v>
      </c>
    </row>
    <row r="307" spans="1:14" x14ac:dyDescent="0.25">
      <c r="A307" s="10">
        <v>100</v>
      </c>
      <c r="B307" s="10">
        <v>180</v>
      </c>
      <c r="C307" s="10">
        <v>5.8</v>
      </c>
      <c r="D307" s="10">
        <v>570</v>
      </c>
      <c r="E307" s="10">
        <v>300</v>
      </c>
      <c r="F307" s="1">
        <v>48.999999999999993</v>
      </c>
      <c r="G307" s="1">
        <f t="shared" si="12"/>
        <v>5.7</v>
      </c>
      <c r="H307" s="1">
        <f t="shared" si="13"/>
        <v>17.241379310344829</v>
      </c>
      <c r="I307" s="1">
        <v>0.20914435571414741</v>
      </c>
      <c r="J307" s="1">
        <v>1.2804756472294743</v>
      </c>
      <c r="K307" s="1">
        <v>934031.99999999965</v>
      </c>
      <c r="L307" s="1">
        <v>729441.44</v>
      </c>
      <c r="M307">
        <v>2138</v>
      </c>
      <c r="N307" s="6">
        <v>0</v>
      </c>
    </row>
    <row r="308" spans="1:14" x14ac:dyDescent="0.25">
      <c r="A308" s="10">
        <v>80.099999999999994</v>
      </c>
      <c r="B308" s="10">
        <v>120.7</v>
      </c>
      <c r="C308" s="10">
        <v>4.18</v>
      </c>
      <c r="D308" s="10">
        <v>360</v>
      </c>
      <c r="E308" s="10">
        <v>550</v>
      </c>
      <c r="F308" s="1">
        <v>49.524999999999991</v>
      </c>
      <c r="G308" s="1">
        <f t="shared" si="12"/>
        <v>4.4943820224719104</v>
      </c>
      <c r="H308" s="1">
        <f t="shared" si="13"/>
        <v>19.162679425837322</v>
      </c>
      <c r="I308" s="1">
        <v>0.19962081933062037</v>
      </c>
      <c r="J308" s="1">
        <v>2.2168894625308675</v>
      </c>
      <c r="K308" s="1">
        <v>884839.11999999988</v>
      </c>
      <c r="L308" s="1">
        <v>399135.42598999996</v>
      </c>
      <c r="M308">
        <v>1450</v>
      </c>
      <c r="N308" s="6">
        <v>0</v>
      </c>
    </row>
    <row r="309" spans="1:14" x14ac:dyDescent="0.25">
      <c r="A309" s="10">
        <v>80.599999999999994</v>
      </c>
      <c r="B309" s="10">
        <v>119.3</v>
      </c>
      <c r="C309" s="10">
        <v>4.18</v>
      </c>
      <c r="D309" s="10">
        <v>360</v>
      </c>
      <c r="E309" s="10">
        <v>550</v>
      </c>
      <c r="F309" s="1">
        <v>49.524999999999991</v>
      </c>
      <c r="G309" s="1">
        <f t="shared" si="12"/>
        <v>4.4665012406947895</v>
      </c>
      <c r="H309" s="1">
        <f t="shared" si="13"/>
        <v>19.282296650717704</v>
      </c>
      <c r="I309" s="1">
        <v>0.1998020140384964</v>
      </c>
      <c r="J309" s="1">
        <v>2.2189017207707833</v>
      </c>
      <c r="K309" s="1">
        <v>880700.92000000016</v>
      </c>
      <c r="L309" s="1">
        <v>396908.48483999993</v>
      </c>
      <c r="M309">
        <v>1425</v>
      </c>
      <c r="N309" s="6">
        <v>0</v>
      </c>
    </row>
    <row r="310" spans="1:14" x14ac:dyDescent="0.25">
      <c r="A310" s="10">
        <v>80.599999999999994</v>
      </c>
      <c r="B310" s="10">
        <v>119.6</v>
      </c>
      <c r="C310" s="10">
        <v>4.18</v>
      </c>
      <c r="D310" s="10">
        <v>360</v>
      </c>
      <c r="E310" s="10">
        <v>550</v>
      </c>
      <c r="F310" s="1">
        <v>57.487499999999997</v>
      </c>
      <c r="G310" s="1">
        <f t="shared" si="12"/>
        <v>4.4665012406947895</v>
      </c>
      <c r="H310" s="1">
        <f t="shared" si="13"/>
        <v>19.282296650717704</v>
      </c>
      <c r="I310" s="1">
        <v>0.19957527009532722</v>
      </c>
      <c r="J310" s="1">
        <v>1.9093959304619259</v>
      </c>
      <c r="K310" s="1">
        <v>882080.31999999948</v>
      </c>
      <c r="L310" s="1">
        <v>461968.26227999991</v>
      </c>
      <c r="M310">
        <v>1560</v>
      </c>
      <c r="N310" s="6">
        <v>0</v>
      </c>
    </row>
    <row r="311" spans="1:14" x14ac:dyDescent="0.25">
      <c r="A311" s="10">
        <v>80.599999999999994</v>
      </c>
      <c r="B311" s="10">
        <v>120.5</v>
      </c>
      <c r="C311" s="10">
        <v>4.18</v>
      </c>
      <c r="D311" s="10">
        <v>360</v>
      </c>
      <c r="E311" s="10">
        <v>550</v>
      </c>
      <c r="F311" s="1">
        <v>57.487499999999997</v>
      </c>
      <c r="G311" s="1">
        <f t="shared" si="12"/>
        <v>4.4665012406947895</v>
      </c>
      <c r="H311" s="1">
        <f t="shared" si="13"/>
        <v>19.282296650717704</v>
      </c>
      <c r="I311" s="1">
        <v>0.19890231736511921</v>
      </c>
      <c r="J311" s="1">
        <v>1.9029575916645456</v>
      </c>
      <c r="K311" s="1">
        <v>886218.51999999967</v>
      </c>
      <c r="L311" s="1">
        <v>465705.86957999994</v>
      </c>
      <c r="M311">
        <v>1700</v>
      </c>
      <c r="N311" s="6">
        <v>0</v>
      </c>
    </row>
    <row r="312" spans="1:14" x14ac:dyDescent="0.25">
      <c r="A312" s="10">
        <v>121.5</v>
      </c>
      <c r="B312" s="10">
        <v>179.7</v>
      </c>
      <c r="C312" s="10">
        <v>4.18</v>
      </c>
      <c r="D312" s="10">
        <v>540</v>
      </c>
      <c r="E312" s="10">
        <v>550</v>
      </c>
      <c r="F312" s="1">
        <v>49.524999999999991</v>
      </c>
      <c r="G312" s="1">
        <f t="shared" si="12"/>
        <v>4.4444444444444446</v>
      </c>
      <c r="H312" s="1">
        <f t="shared" si="13"/>
        <v>29.066985645933016</v>
      </c>
      <c r="I312" s="1">
        <v>0.12628789915152472</v>
      </c>
      <c r="J312" s="1">
        <v>1.4024905509003252</v>
      </c>
      <c r="K312" s="1">
        <v>1346478.3200000003</v>
      </c>
      <c r="L312" s="1">
        <v>960062.31138999981</v>
      </c>
      <c r="M312">
        <v>2530</v>
      </c>
      <c r="N312" s="6">
        <v>0</v>
      </c>
    </row>
    <row r="313" spans="1:14" x14ac:dyDescent="0.25">
      <c r="A313" s="10">
        <v>119.8</v>
      </c>
      <c r="B313" s="10">
        <v>180.4</v>
      </c>
      <c r="C313" s="10">
        <v>4.18</v>
      </c>
      <c r="D313" s="10">
        <v>540</v>
      </c>
      <c r="E313" s="10">
        <v>550</v>
      </c>
      <c r="F313" s="1">
        <v>57.487499999999997</v>
      </c>
      <c r="G313" s="1">
        <f t="shared" si="12"/>
        <v>4.5075125208681133</v>
      </c>
      <c r="H313" s="1">
        <f t="shared" si="13"/>
        <v>28.660287081339714</v>
      </c>
      <c r="I313" s="1">
        <v>0.12725667063854162</v>
      </c>
      <c r="J313" s="1">
        <v>1.2175023935846558</v>
      </c>
      <c r="K313" s="1">
        <v>1341880.3200000001</v>
      </c>
      <c r="L313" s="1">
        <v>1102158.26028</v>
      </c>
      <c r="M313">
        <v>2970</v>
      </c>
      <c r="N313" s="6">
        <v>0</v>
      </c>
    </row>
    <row r="314" spans="1:14" x14ac:dyDescent="0.25">
      <c r="A314" s="10">
        <v>121.3</v>
      </c>
      <c r="B314" s="10">
        <v>179.2</v>
      </c>
      <c r="C314" s="10">
        <v>4.18</v>
      </c>
      <c r="D314" s="10">
        <v>540</v>
      </c>
      <c r="E314" s="10">
        <v>550</v>
      </c>
      <c r="F314" s="1">
        <v>57.487499999999997</v>
      </c>
      <c r="G314" s="1">
        <f t="shared" si="12"/>
        <v>4.451772464962902</v>
      </c>
      <c r="H314" s="1">
        <f t="shared" si="13"/>
        <v>29.019138755980862</v>
      </c>
      <c r="I314" s="1">
        <v>0.12657850331886492</v>
      </c>
      <c r="J314" s="1">
        <v>1.2110141652598514</v>
      </c>
      <c r="K314" s="1">
        <v>1343259.7200000009</v>
      </c>
      <c r="L314" s="1">
        <v>1109202.3186299999</v>
      </c>
      <c r="M314">
        <v>2590</v>
      </c>
      <c r="N314" s="6">
        <v>0</v>
      </c>
    </row>
    <row r="315" spans="1:14" x14ac:dyDescent="0.25">
      <c r="A315" s="10">
        <v>81.400000000000006</v>
      </c>
      <c r="B315" s="10">
        <v>160.19999999999999</v>
      </c>
      <c r="C315" s="10">
        <v>4.18</v>
      </c>
      <c r="D315" s="10">
        <v>480</v>
      </c>
      <c r="E315" s="10">
        <v>550</v>
      </c>
      <c r="F315" s="1">
        <v>49.524999999999991</v>
      </c>
      <c r="G315" s="1">
        <f t="shared" si="12"/>
        <v>5.8968058968058967</v>
      </c>
      <c r="H315" s="1">
        <f t="shared" si="13"/>
        <v>19.473684210526319</v>
      </c>
      <c r="I315" s="1">
        <v>0.17581760127972387</v>
      </c>
      <c r="J315" s="1">
        <v>1.9525427703957223</v>
      </c>
      <c r="K315" s="1">
        <v>1072437.5200000007</v>
      </c>
      <c r="L315" s="1">
        <v>549251.74303999986</v>
      </c>
      <c r="M315">
        <v>1710</v>
      </c>
      <c r="N315" s="6">
        <v>0</v>
      </c>
    </row>
    <row r="316" spans="1:14" x14ac:dyDescent="0.25">
      <c r="A316" s="10">
        <v>80.5</v>
      </c>
      <c r="B316" s="10">
        <v>160.69999999999999</v>
      </c>
      <c r="C316" s="10">
        <v>4.18</v>
      </c>
      <c r="D316" s="10">
        <v>480</v>
      </c>
      <c r="E316" s="10">
        <v>550</v>
      </c>
      <c r="F316" s="1">
        <v>49.524999999999991</v>
      </c>
      <c r="G316" s="1">
        <f t="shared" si="12"/>
        <v>5.9627329192546581</v>
      </c>
      <c r="H316" s="1">
        <f t="shared" si="13"/>
        <v>19.258373205741627</v>
      </c>
      <c r="I316" s="1">
        <v>0.17712251850523758</v>
      </c>
      <c r="J316" s="1">
        <v>1.9670345316078883</v>
      </c>
      <c r="K316" s="1">
        <v>1070598.32</v>
      </c>
      <c r="L316" s="1">
        <v>544270.22138999985</v>
      </c>
      <c r="M316">
        <v>1820</v>
      </c>
      <c r="N316" s="6">
        <v>0</v>
      </c>
    </row>
    <row r="317" spans="1:14" x14ac:dyDescent="0.25">
      <c r="A317" s="10">
        <v>81</v>
      </c>
      <c r="B317" s="10">
        <v>160.1</v>
      </c>
      <c r="C317" s="10">
        <v>4.18</v>
      </c>
      <c r="D317" s="10">
        <v>480</v>
      </c>
      <c r="E317" s="10">
        <v>550</v>
      </c>
      <c r="F317" s="1">
        <v>57.487499999999997</v>
      </c>
      <c r="G317" s="1">
        <f t="shared" si="12"/>
        <v>5.9259259259259256</v>
      </c>
      <c r="H317" s="1">
        <f t="shared" si="13"/>
        <v>19.37799043062201</v>
      </c>
      <c r="I317" s="1">
        <v>0.17652303760954416</v>
      </c>
      <c r="J317" s="1">
        <v>1.6888483702587398</v>
      </c>
      <c r="K317" s="1">
        <v>1070138.5199999996</v>
      </c>
      <c r="L317" s="1">
        <v>633649.85207999998</v>
      </c>
      <c r="M317">
        <v>1880</v>
      </c>
      <c r="N317" s="6">
        <v>0</v>
      </c>
    </row>
    <row r="318" spans="1:14" x14ac:dyDescent="0.25">
      <c r="A318" s="10">
        <v>80.099999999999994</v>
      </c>
      <c r="B318" s="10">
        <v>160.6</v>
      </c>
      <c r="C318" s="10">
        <v>4.18</v>
      </c>
      <c r="D318" s="10">
        <v>480</v>
      </c>
      <c r="E318" s="10">
        <v>550</v>
      </c>
      <c r="F318" s="1">
        <v>57.487499999999997</v>
      </c>
      <c r="G318" s="1">
        <f t="shared" si="12"/>
        <v>5.9925093632958806</v>
      </c>
      <c r="H318" s="1">
        <f t="shared" si="13"/>
        <v>19.162679425837322</v>
      </c>
      <c r="I318" s="1">
        <v>0.17784436734450512</v>
      </c>
      <c r="J318" s="1">
        <v>1.7014899245832196</v>
      </c>
      <c r="K318" s="1">
        <v>1068299.32</v>
      </c>
      <c r="L318" s="1">
        <v>627861.09077999997</v>
      </c>
      <c r="M318">
        <v>2100</v>
      </c>
      <c r="N318" s="6">
        <v>0</v>
      </c>
    </row>
    <row r="319" spans="1:14" x14ac:dyDescent="0.25">
      <c r="A319" s="10">
        <v>101.2</v>
      </c>
      <c r="B319" s="10">
        <v>199.8</v>
      </c>
      <c r="C319" s="10">
        <v>4.18</v>
      </c>
      <c r="D319" s="10">
        <v>600</v>
      </c>
      <c r="E319" s="10">
        <v>550</v>
      </c>
      <c r="F319" s="1">
        <v>49.524999999999991</v>
      </c>
      <c r="G319" s="1">
        <f t="shared" si="12"/>
        <v>5.928853754940711</v>
      </c>
      <c r="H319" s="1">
        <f t="shared" si="13"/>
        <v>24.210526315789476</v>
      </c>
      <c r="I319" s="1">
        <v>0.13764871079352706</v>
      </c>
      <c r="J319" s="1">
        <v>1.5286580703975747</v>
      </c>
      <c r="K319" s="1">
        <v>1345558.7200000011</v>
      </c>
      <c r="L319" s="1">
        <v>880222.16743999987</v>
      </c>
      <c r="M319">
        <v>2350</v>
      </c>
      <c r="N319" s="6">
        <v>0</v>
      </c>
    </row>
    <row r="320" spans="1:14" x14ac:dyDescent="0.25">
      <c r="A320" s="10">
        <v>98.9</v>
      </c>
      <c r="B320" s="10">
        <v>200.2</v>
      </c>
      <c r="C320" s="10">
        <v>4.18</v>
      </c>
      <c r="D320" s="10">
        <v>600</v>
      </c>
      <c r="E320" s="10">
        <v>550</v>
      </c>
      <c r="F320" s="1">
        <v>49.524999999999991</v>
      </c>
      <c r="G320" s="1">
        <f t="shared" si="12"/>
        <v>6.0667340748230529</v>
      </c>
      <c r="H320" s="1">
        <f t="shared" si="13"/>
        <v>23.660287081339717</v>
      </c>
      <c r="I320" s="1">
        <v>0.13993662895207756</v>
      </c>
      <c r="J320" s="1">
        <v>1.5540665507045466</v>
      </c>
      <c r="K320" s="1">
        <v>1336822.52</v>
      </c>
      <c r="L320" s="1">
        <v>860209.3130399998</v>
      </c>
      <c r="M320">
        <v>2380</v>
      </c>
      <c r="N320" s="6">
        <v>0</v>
      </c>
    </row>
    <row r="321" spans="1:14" x14ac:dyDescent="0.25">
      <c r="A321" s="10">
        <v>102.1</v>
      </c>
      <c r="B321" s="10">
        <v>199.2</v>
      </c>
      <c r="C321" s="10">
        <v>4.18</v>
      </c>
      <c r="D321" s="10">
        <v>600</v>
      </c>
      <c r="E321" s="10">
        <v>550</v>
      </c>
      <c r="F321" s="1">
        <v>57.487499999999997</v>
      </c>
      <c r="G321" s="1">
        <f t="shared" si="12"/>
        <v>5.8765915768854065</v>
      </c>
      <c r="H321" s="1">
        <f t="shared" si="13"/>
        <v>24.425837320574164</v>
      </c>
      <c r="I321" s="1">
        <v>0.13689594926176604</v>
      </c>
      <c r="J321" s="1">
        <v>1.3097242373380531</v>
      </c>
      <c r="K321" s="1">
        <v>1346938.1199999999</v>
      </c>
      <c r="L321" s="1">
        <v>1028413.5252299997</v>
      </c>
      <c r="M321">
        <v>2900</v>
      </c>
      <c r="N321" s="6">
        <v>0</v>
      </c>
    </row>
    <row r="322" spans="1:14" x14ac:dyDescent="0.25">
      <c r="A322" s="10">
        <v>99.6</v>
      </c>
      <c r="B322" s="10">
        <v>199.8</v>
      </c>
      <c r="C322" s="10">
        <v>4.18</v>
      </c>
      <c r="D322" s="10">
        <v>600</v>
      </c>
      <c r="E322" s="10">
        <v>550</v>
      </c>
      <c r="F322" s="1">
        <v>57.487499999999997</v>
      </c>
      <c r="G322" s="1">
        <f t="shared" ref="G322:G385" si="14">D322/A322</f>
        <v>6.024096385542169</v>
      </c>
      <c r="H322" s="1">
        <f t="shared" ref="H322:H385" si="15">A322/C322</f>
        <v>23.827751196172247</v>
      </c>
      <c r="I322" s="1">
        <v>0.13929675421499185</v>
      </c>
      <c r="J322" s="1">
        <v>1.3326934519372995</v>
      </c>
      <c r="K322" s="1">
        <v>1338201.9200000009</v>
      </c>
      <c r="L322" s="1">
        <v>1004133.33468</v>
      </c>
      <c r="M322">
        <v>2800</v>
      </c>
      <c r="N322" s="6">
        <v>0</v>
      </c>
    </row>
    <row r="323" spans="1:14" x14ac:dyDescent="0.25">
      <c r="A323" s="10">
        <v>130</v>
      </c>
      <c r="B323" s="10">
        <v>130</v>
      </c>
      <c r="C323" s="11">
        <v>2.65</v>
      </c>
      <c r="D323" s="11">
        <v>780</v>
      </c>
      <c r="E323" s="11">
        <v>340.1</v>
      </c>
      <c r="F323" s="1">
        <v>15.399999999999999</v>
      </c>
      <c r="G323" s="1">
        <f t="shared" si="14"/>
        <v>6</v>
      </c>
      <c r="H323" s="1">
        <f t="shared" si="15"/>
        <v>49.056603773584911</v>
      </c>
      <c r="I323" s="1">
        <v>8.6810430036096245E-2</v>
      </c>
      <c r="J323" s="1">
        <v>1.9171576139789832</v>
      </c>
      <c r="K323" s="1">
        <v>459104.391</v>
      </c>
      <c r="L323" s="1">
        <v>239471.38599999997</v>
      </c>
      <c r="M323">
        <v>760</v>
      </c>
      <c r="N323" s="6">
        <v>0</v>
      </c>
    </row>
    <row r="324" spans="1:14" x14ac:dyDescent="0.25">
      <c r="A324" s="10">
        <v>130</v>
      </c>
      <c r="B324" s="10">
        <v>130</v>
      </c>
      <c r="C324" s="11">
        <v>2.65</v>
      </c>
      <c r="D324" s="11">
        <v>780</v>
      </c>
      <c r="E324" s="11">
        <v>340.1</v>
      </c>
      <c r="F324" s="1">
        <v>15.399999999999999</v>
      </c>
      <c r="G324" s="1">
        <f t="shared" si="14"/>
        <v>6</v>
      </c>
      <c r="H324" s="1">
        <f t="shared" si="15"/>
        <v>49.056603773584911</v>
      </c>
      <c r="I324" s="1">
        <v>8.6810430036096245E-2</v>
      </c>
      <c r="J324" s="1">
        <v>1.9171576139789832</v>
      </c>
      <c r="K324" s="1">
        <v>459104.391</v>
      </c>
      <c r="L324" s="1">
        <v>239471.38599999997</v>
      </c>
      <c r="M324">
        <v>770</v>
      </c>
      <c r="N324" s="6">
        <v>0</v>
      </c>
    </row>
    <row r="325" spans="1:14" x14ac:dyDescent="0.25">
      <c r="A325" s="10">
        <v>130</v>
      </c>
      <c r="B325" s="10">
        <v>130</v>
      </c>
      <c r="C325" s="11">
        <v>2.65</v>
      </c>
      <c r="D325" s="11">
        <v>780</v>
      </c>
      <c r="E325" s="11">
        <v>340.1</v>
      </c>
      <c r="F325" s="1">
        <v>15.399999999999999</v>
      </c>
      <c r="G325" s="1">
        <f t="shared" si="14"/>
        <v>6</v>
      </c>
      <c r="H325" s="1">
        <f t="shared" si="15"/>
        <v>49.056603773584911</v>
      </c>
      <c r="I325" s="1">
        <v>8.6810430036096245E-2</v>
      </c>
      <c r="J325" s="1">
        <v>1.9171576139789832</v>
      </c>
      <c r="K325" s="1">
        <v>459104.391</v>
      </c>
      <c r="L325" s="1">
        <v>239471.38599999997</v>
      </c>
      <c r="M325">
        <v>690</v>
      </c>
      <c r="N325" s="6">
        <v>0</v>
      </c>
    </row>
    <row r="326" spans="1:14" x14ac:dyDescent="0.25">
      <c r="A326" s="10">
        <v>130</v>
      </c>
      <c r="B326" s="10">
        <v>130</v>
      </c>
      <c r="C326" s="11">
        <v>2.65</v>
      </c>
      <c r="D326" s="11">
        <v>780</v>
      </c>
      <c r="E326" s="11">
        <v>340.1</v>
      </c>
      <c r="F326" s="1">
        <v>15.399999999999999</v>
      </c>
      <c r="G326" s="1">
        <f t="shared" si="14"/>
        <v>6</v>
      </c>
      <c r="H326" s="1">
        <f t="shared" si="15"/>
        <v>49.056603773584911</v>
      </c>
      <c r="I326" s="1">
        <v>8.6810430036096245E-2</v>
      </c>
      <c r="J326" s="1">
        <v>1.9171576139789832</v>
      </c>
      <c r="K326" s="1">
        <v>459104.391</v>
      </c>
      <c r="L326" s="1">
        <v>239471.38599999997</v>
      </c>
      <c r="M326">
        <v>739</v>
      </c>
      <c r="N326" s="6">
        <v>0</v>
      </c>
    </row>
    <row r="327" spans="1:14" x14ac:dyDescent="0.25">
      <c r="A327" s="10">
        <v>240</v>
      </c>
      <c r="B327" s="10">
        <v>360</v>
      </c>
      <c r="C327" s="11">
        <v>2.65</v>
      </c>
      <c r="D327" s="11">
        <v>1440</v>
      </c>
      <c r="E327" s="11">
        <v>340.1</v>
      </c>
      <c r="F327" s="1">
        <v>15.399999999999999</v>
      </c>
      <c r="G327" s="1">
        <f t="shared" si="14"/>
        <v>6</v>
      </c>
      <c r="H327" s="1">
        <f t="shared" si="15"/>
        <v>90.566037735849065</v>
      </c>
      <c r="I327" s="1">
        <v>3.7861649438443619E-2</v>
      </c>
      <c r="J327" s="1">
        <v>0.83615240091004384</v>
      </c>
      <c r="K327" s="1">
        <v>1071964.5910000012</v>
      </c>
      <c r="L327" s="1">
        <v>1282020.5859999999</v>
      </c>
      <c r="M327">
        <v>2300</v>
      </c>
      <c r="N327" s="6">
        <v>0</v>
      </c>
    </row>
    <row r="328" spans="1:14" x14ac:dyDescent="0.25">
      <c r="A328" s="10">
        <v>240</v>
      </c>
      <c r="B328" s="10">
        <v>360</v>
      </c>
      <c r="C328" s="11">
        <v>2.65</v>
      </c>
      <c r="D328" s="11">
        <v>1440</v>
      </c>
      <c r="E328" s="11">
        <v>340.1</v>
      </c>
      <c r="F328" s="1">
        <v>15.399999999999999</v>
      </c>
      <c r="G328" s="1">
        <f t="shared" si="14"/>
        <v>6</v>
      </c>
      <c r="H328" s="1">
        <f t="shared" si="15"/>
        <v>90.566037735849065</v>
      </c>
      <c r="I328" s="1">
        <v>3.7861649438443619E-2</v>
      </c>
      <c r="J328" s="1">
        <v>0.83615240091004384</v>
      </c>
      <c r="K328" s="1">
        <v>1071964.5910000012</v>
      </c>
      <c r="L328" s="1">
        <v>1282020.5859999999</v>
      </c>
      <c r="M328">
        <v>2250</v>
      </c>
      <c r="N328" s="6">
        <v>0</v>
      </c>
    </row>
    <row r="329" spans="1:14" x14ac:dyDescent="0.25">
      <c r="A329" s="10">
        <v>240</v>
      </c>
      <c r="B329" s="10">
        <v>360</v>
      </c>
      <c r="C329" s="11">
        <v>2.65</v>
      </c>
      <c r="D329" s="11">
        <v>1440</v>
      </c>
      <c r="E329" s="11">
        <v>340.1</v>
      </c>
      <c r="F329" s="1">
        <v>15.399999999999999</v>
      </c>
      <c r="G329" s="1">
        <f t="shared" si="14"/>
        <v>6</v>
      </c>
      <c r="H329" s="1">
        <f t="shared" si="15"/>
        <v>90.566037735849065</v>
      </c>
      <c r="I329" s="1">
        <v>3.7861649438443619E-2</v>
      </c>
      <c r="J329" s="1">
        <v>0.83615240091004384</v>
      </c>
      <c r="K329" s="1">
        <v>1071964.5910000012</v>
      </c>
      <c r="L329" s="1">
        <v>1282020.5859999999</v>
      </c>
      <c r="M329">
        <v>1610</v>
      </c>
      <c r="N329" s="6">
        <v>0</v>
      </c>
    </row>
    <row r="330" spans="1:14" x14ac:dyDescent="0.25">
      <c r="A330" s="10">
        <v>240</v>
      </c>
      <c r="B330" s="10">
        <v>360</v>
      </c>
      <c r="C330" s="11">
        <v>2.65</v>
      </c>
      <c r="D330" s="11">
        <v>1440</v>
      </c>
      <c r="E330" s="11">
        <v>340.1</v>
      </c>
      <c r="F330" s="1">
        <v>15.399999999999999</v>
      </c>
      <c r="G330" s="1">
        <f t="shared" si="14"/>
        <v>6</v>
      </c>
      <c r="H330" s="1">
        <f t="shared" si="15"/>
        <v>90.566037735849065</v>
      </c>
      <c r="I330" s="1">
        <v>3.7861649438443619E-2</v>
      </c>
      <c r="J330" s="1">
        <v>0.83615240091004384</v>
      </c>
      <c r="K330" s="1">
        <v>1071964.5910000012</v>
      </c>
      <c r="L330" s="1">
        <v>1282020.5859999999</v>
      </c>
      <c r="M330">
        <v>1600</v>
      </c>
      <c r="N330" s="6">
        <v>0</v>
      </c>
    </row>
    <row r="331" spans="1:14" x14ac:dyDescent="0.25">
      <c r="A331" s="10">
        <v>130</v>
      </c>
      <c r="B331" s="10">
        <v>195</v>
      </c>
      <c r="C331" s="11">
        <v>2.65</v>
      </c>
      <c r="D331" s="11">
        <v>780</v>
      </c>
      <c r="E331" s="11">
        <v>340.1</v>
      </c>
      <c r="F331" s="1">
        <v>15.399999999999999</v>
      </c>
      <c r="G331" s="1">
        <f t="shared" si="14"/>
        <v>6</v>
      </c>
      <c r="H331" s="1">
        <f t="shared" si="15"/>
        <v>49.056603773584911</v>
      </c>
      <c r="I331" s="1">
        <v>7.1628312800483943E-2</v>
      </c>
      <c r="J331" s="1">
        <v>1.5818694274964022</v>
      </c>
      <c r="K331" s="1">
        <v>576268.84100000001</v>
      </c>
      <c r="L331" s="1">
        <v>364296.08599999995</v>
      </c>
      <c r="M331">
        <v>980</v>
      </c>
      <c r="N331" s="6">
        <v>0</v>
      </c>
    </row>
    <row r="332" spans="1:14" x14ac:dyDescent="0.25">
      <c r="A332" s="10">
        <v>130</v>
      </c>
      <c r="B332" s="10">
        <v>195</v>
      </c>
      <c r="C332" s="11">
        <v>2.65</v>
      </c>
      <c r="D332" s="11">
        <v>780</v>
      </c>
      <c r="E332" s="11">
        <v>340.1</v>
      </c>
      <c r="F332" s="1">
        <v>15.399999999999999</v>
      </c>
      <c r="G332" s="1">
        <f t="shared" si="14"/>
        <v>6</v>
      </c>
      <c r="H332" s="1">
        <f t="shared" si="15"/>
        <v>49.056603773584911</v>
      </c>
      <c r="I332" s="1">
        <v>7.1628312800483943E-2</v>
      </c>
      <c r="J332" s="1">
        <v>1.5818694274964022</v>
      </c>
      <c r="K332" s="1">
        <v>576268.84100000001</v>
      </c>
      <c r="L332" s="1">
        <v>364296.08599999995</v>
      </c>
      <c r="M332">
        <v>960</v>
      </c>
      <c r="N332" s="6">
        <v>0</v>
      </c>
    </row>
    <row r="333" spans="1:14" x14ac:dyDescent="0.25">
      <c r="A333" s="10">
        <v>130</v>
      </c>
      <c r="B333" s="10">
        <v>195</v>
      </c>
      <c r="C333" s="11">
        <v>2.65</v>
      </c>
      <c r="D333" s="11">
        <v>780</v>
      </c>
      <c r="E333" s="11">
        <v>340.1</v>
      </c>
      <c r="F333" s="1">
        <v>15.399999999999999</v>
      </c>
      <c r="G333" s="1">
        <f t="shared" si="14"/>
        <v>6</v>
      </c>
      <c r="H333" s="1">
        <f t="shared" si="15"/>
        <v>49.056603773584911</v>
      </c>
      <c r="I333" s="1">
        <v>7.1628312800483943E-2</v>
      </c>
      <c r="J333" s="1">
        <v>1.5818694274964022</v>
      </c>
      <c r="K333" s="1">
        <v>576268.84100000001</v>
      </c>
      <c r="L333" s="1">
        <v>364296.08599999995</v>
      </c>
      <c r="M333">
        <v>880</v>
      </c>
      <c r="N333" s="6">
        <v>0</v>
      </c>
    </row>
    <row r="334" spans="1:14" x14ac:dyDescent="0.25">
      <c r="A334" s="10">
        <v>130</v>
      </c>
      <c r="B334" s="10">
        <v>195</v>
      </c>
      <c r="C334" s="11">
        <v>2.65</v>
      </c>
      <c r="D334" s="11">
        <v>780</v>
      </c>
      <c r="E334" s="11">
        <v>340.1</v>
      </c>
      <c r="F334" s="1">
        <v>15.399999999999999</v>
      </c>
      <c r="G334" s="1">
        <f t="shared" si="14"/>
        <v>6</v>
      </c>
      <c r="H334" s="1">
        <f t="shared" si="15"/>
        <v>49.056603773584911</v>
      </c>
      <c r="I334" s="1">
        <v>7.1628312800483943E-2</v>
      </c>
      <c r="J334" s="1">
        <v>1.5818694274964022</v>
      </c>
      <c r="K334" s="1">
        <v>576268.84100000001</v>
      </c>
      <c r="L334" s="1">
        <v>364296.08599999995</v>
      </c>
      <c r="M334">
        <v>900</v>
      </c>
      <c r="N334" s="6">
        <v>0</v>
      </c>
    </row>
    <row r="335" spans="1:14" x14ac:dyDescent="0.25">
      <c r="A335" s="10">
        <v>130</v>
      </c>
      <c r="B335" s="10">
        <v>195</v>
      </c>
      <c r="C335" s="11">
        <v>2.65</v>
      </c>
      <c r="D335" s="11">
        <v>2340</v>
      </c>
      <c r="E335" s="11">
        <v>340.1</v>
      </c>
      <c r="F335" s="1">
        <v>15.399999999999999</v>
      </c>
      <c r="G335" s="1">
        <f t="shared" si="14"/>
        <v>18</v>
      </c>
      <c r="H335" s="1">
        <f t="shared" si="15"/>
        <v>49.056603773584911</v>
      </c>
      <c r="I335" s="1">
        <v>7.1628312800483943E-2</v>
      </c>
      <c r="J335" s="1">
        <v>1.5818694274964022</v>
      </c>
      <c r="K335" s="1">
        <v>576268.84100000001</v>
      </c>
      <c r="L335" s="1">
        <v>364296.08599999995</v>
      </c>
      <c r="M335">
        <v>890</v>
      </c>
      <c r="N335" s="6">
        <v>0</v>
      </c>
    </row>
    <row r="336" spans="1:14" x14ac:dyDescent="0.25">
      <c r="A336" s="10">
        <v>130</v>
      </c>
      <c r="B336" s="10">
        <v>195</v>
      </c>
      <c r="C336" s="11">
        <v>2.65</v>
      </c>
      <c r="D336" s="11">
        <v>2340</v>
      </c>
      <c r="E336" s="11">
        <v>340.1</v>
      </c>
      <c r="F336" s="1">
        <v>15.399999999999999</v>
      </c>
      <c r="G336" s="1">
        <f t="shared" si="14"/>
        <v>18</v>
      </c>
      <c r="H336" s="1">
        <f t="shared" si="15"/>
        <v>49.056603773584911</v>
      </c>
      <c r="I336" s="1">
        <v>7.1628312800483943E-2</v>
      </c>
      <c r="J336" s="1">
        <v>1.5818694274964022</v>
      </c>
      <c r="K336" s="1">
        <v>576268.84100000001</v>
      </c>
      <c r="L336" s="1">
        <v>364296.08599999995</v>
      </c>
      <c r="M336">
        <v>815</v>
      </c>
      <c r="N336" s="6">
        <v>0</v>
      </c>
    </row>
    <row r="337" spans="1:14" x14ac:dyDescent="0.25">
      <c r="A337" s="10">
        <v>130</v>
      </c>
      <c r="B337" s="10">
        <v>195</v>
      </c>
      <c r="C337" s="11">
        <v>2.65</v>
      </c>
      <c r="D337" s="11">
        <v>2340</v>
      </c>
      <c r="E337" s="11">
        <v>340.1</v>
      </c>
      <c r="F337" s="1">
        <v>15.399999999999999</v>
      </c>
      <c r="G337" s="1">
        <f t="shared" si="14"/>
        <v>18</v>
      </c>
      <c r="H337" s="1">
        <f t="shared" si="15"/>
        <v>49.056603773584911</v>
      </c>
      <c r="I337" s="1">
        <v>7.1628312800483943E-2</v>
      </c>
      <c r="J337" s="1">
        <v>1.5818694274964022</v>
      </c>
      <c r="K337" s="1">
        <v>576268.84100000001</v>
      </c>
      <c r="L337" s="1">
        <v>364296.08599999995</v>
      </c>
      <c r="M337">
        <v>645</v>
      </c>
      <c r="N337" s="6">
        <v>0</v>
      </c>
    </row>
    <row r="338" spans="1:14" x14ac:dyDescent="0.25">
      <c r="A338" s="10">
        <v>130</v>
      </c>
      <c r="B338" s="10">
        <v>195</v>
      </c>
      <c r="C338" s="11">
        <v>2.65</v>
      </c>
      <c r="D338" s="11">
        <v>2340</v>
      </c>
      <c r="E338" s="11">
        <v>340.1</v>
      </c>
      <c r="F338" s="1">
        <v>15.399999999999999</v>
      </c>
      <c r="G338" s="1">
        <f t="shared" si="14"/>
        <v>18</v>
      </c>
      <c r="H338" s="1">
        <f t="shared" si="15"/>
        <v>49.056603773584911</v>
      </c>
      <c r="I338" s="1">
        <v>7.1628312800483943E-2</v>
      </c>
      <c r="J338" s="1">
        <v>1.5818694274964022</v>
      </c>
      <c r="K338" s="1">
        <v>576268.84100000001</v>
      </c>
      <c r="L338" s="1">
        <v>364296.08599999995</v>
      </c>
      <c r="M338">
        <v>625</v>
      </c>
      <c r="N338" s="6">
        <v>0</v>
      </c>
    </row>
    <row r="339" spans="1:14" x14ac:dyDescent="0.25">
      <c r="A339" s="10">
        <v>90</v>
      </c>
      <c r="B339" s="10">
        <v>135</v>
      </c>
      <c r="C339" s="12">
        <v>2.65</v>
      </c>
      <c r="D339" s="10">
        <v>540</v>
      </c>
      <c r="E339" s="12">
        <v>340.1</v>
      </c>
      <c r="F339" s="1">
        <v>15.399999999999999</v>
      </c>
      <c r="G339" s="1">
        <f t="shared" si="14"/>
        <v>6</v>
      </c>
      <c r="H339" s="1">
        <f t="shared" si="15"/>
        <v>33.962264150943398</v>
      </c>
      <c r="I339" s="1">
        <v>0.10599430708773946</v>
      </c>
      <c r="J339" s="1">
        <v>2.340822327307805</v>
      </c>
      <c r="K339" s="1">
        <v>396015.84099999996</v>
      </c>
      <c r="L339" s="1">
        <v>169178.08599999998</v>
      </c>
      <c r="M339">
        <v>580</v>
      </c>
      <c r="N339" s="6">
        <v>0</v>
      </c>
    </row>
    <row r="340" spans="1:14" x14ac:dyDescent="0.25">
      <c r="A340" s="10">
        <v>90</v>
      </c>
      <c r="B340" s="10">
        <v>135</v>
      </c>
      <c r="C340" s="12">
        <v>2.65</v>
      </c>
      <c r="D340" s="10">
        <v>540</v>
      </c>
      <c r="E340" s="12">
        <v>340.1</v>
      </c>
      <c r="F340" s="1">
        <v>15.399999999999999</v>
      </c>
      <c r="G340" s="1">
        <f t="shared" si="14"/>
        <v>6</v>
      </c>
      <c r="H340" s="1">
        <f t="shared" si="15"/>
        <v>33.962264150943398</v>
      </c>
      <c r="I340" s="1">
        <v>0.10599430708773946</v>
      </c>
      <c r="J340" s="1">
        <v>2.340822327307805</v>
      </c>
      <c r="K340" s="1">
        <v>396015.84099999996</v>
      </c>
      <c r="L340" s="1">
        <v>169178.08599999998</v>
      </c>
      <c r="M340">
        <v>592</v>
      </c>
      <c r="N340" s="6">
        <v>0</v>
      </c>
    </row>
    <row r="341" spans="1:14" x14ac:dyDescent="0.25">
      <c r="A341" s="10">
        <v>90</v>
      </c>
      <c r="B341" s="10">
        <v>135</v>
      </c>
      <c r="C341" s="12">
        <v>2.65</v>
      </c>
      <c r="D341" s="10">
        <v>540</v>
      </c>
      <c r="E341" s="12">
        <v>340.1</v>
      </c>
      <c r="F341" s="1">
        <v>15.399999999999999</v>
      </c>
      <c r="G341" s="1">
        <f t="shared" si="14"/>
        <v>6</v>
      </c>
      <c r="H341" s="1">
        <f t="shared" si="15"/>
        <v>33.962264150943398</v>
      </c>
      <c r="I341" s="1">
        <v>0.10599430708773946</v>
      </c>
      <c r="J341" s="1">
        <v>2.340822327307805</v>
      </c>
      <c r="K341" s="1">
        <v>396015.84099999996</v>
      </c>
      <c r="L341" s="1">
        <v>169178.08599999998</v>
      </c>
      <c r="M341">
        <v>570</v>
      </c>
      <c r="N341" s="6">
        <v>0</v>
      </c>
    </row>
    <row r="342" spans="1:14" x14ac:dyDescent="0.25">
      <c r="A342" s="10">
        <v>90</v>
      </c>
      <c r="B342" s="10">
        <v>135</v>
      </c>
      <c r="C342" s="12">
        <v>2.65</v>
      </c>
      <c r="D342" s="10">
        <v>540</v>
      </c>
      <c r="E342" s="12">
        <v>340.1</v>
      </c>
      <c r="F342" s="1">
        <v>15.399999999999999</v>
      </c>
      <c r="G342" s="1">
        <f t="shared" si="14"/>
        <v>6</v>
      </c>
      <c r="H342" s="1">
        <f t="shared" si="15"/>
        <v>33.962264150943398</v>
      </c>
      <c r="I342" s="1">
        <v>0.10599430708773946</v>
      </c>
      <c r="J342" s="1">
        <v>2.340822327307805</v>
      </c>
      <c r="K342" s="1">
        <v>396015.84099999996</v>
      </c>
      <c r="L342" s="1">
        <v>169178.08599999998</v>
      </c>
      <c r="M342">
        <v>552</v>
      </c>
      <c r="N342" s="6">
        <v>0</v>
      </c>
    </row>
    <row r="343" spans="1:14" x14ac:dyDescent="0.25">
      <c r="A343" s="10">
        <v>120</v>
      </c>
      <c r="B343" s="10">
        <v>240</v>
      </c>
      <c r="C343" s="12">
        <v>2.65</v>
      </c>
      <c r="D343" s="10">
        <v>720</v>
      </c>
      <c r="E343" s="12">
        <v>340.1</v>
      </c>
      <c r="F343" s="1">
        <v>15.399999999999999</v>
      </c>
      <c r="G343" s="1">
        <f t="shared" si="14"/>
        <v>6</v>
      </c>
      <c r="H343" s="1">
        <f t="shared" si="15"/>
        <v>45.283018867924532</v>
      </c>
      <c r="I343" s="1">
        <v>6.9832976041313374E-2</v>
      </c>
      <c r="J343" s="1">
        <v>1.5422204643929014</v>
      </c>
      <c r="K343" s="1">
        <v>639357.39099999995</v>
      </c>
      <c r="L343" s="1">
        <v>414569.38599999994</v>
      </c>
      <c r="M343">
        <v>1140</v>
      </c>
      <c r="N343" s="6">
        <v>0</v>
      </c>
    </row>
    <row r="344" spans="1:14" x14ac:dyDescent="0.25">
      <c r="A344" s="10">
        <v>120</v>
      </c>
      <c r="B344" s="10">
        <v>240</v>
      </c>
      <c r="C344" s="12">
        <v>2.65</v>
      </c>
      <c r="D344" s="10">
        <v>720</v>
      </c>
      <c r="E344" s="12">
        <v>340.1</v>
      </c>
      <c r="F344" s="1">
        <v>15.399999999999999</v>
      </c>
      <c r="G344" s="1">
        <f t="shared" si="14"/>
        <v>6</v>
      </c>
      <c r="H344" s="1">
        <f t="shared" si="15"/>
        <v>45.283018867924532</v>
      </c>
      <c r="I344" s="1">
        <v>6.9832976041313374E-2</v>
      </c>
      <c r="J344" s="1">
        <v>1.5422204643929014</v>
      </c>
      <c r="K344" s="1">
        <v>639357.39099999995</v>
      </c>
      <c r="L344" s="1">
        <v>414569.38599999994</v>
      </c>
      <c r="M344">
        <v>1032</v>
      </c>
      <c r="N344" s="6">
        <v>0</v>
      </c>
    </row>
    <row r="345" spans="1:14" x14ac:dyDescent="0.25">
      <c r="A345" s="10">
        <v>120</v>
      </c>
      <c r="B345" s="10">
        <v>240</v>
      </c>
      <c r="C345" s="12">
        <v>2.65</v>
      </c>
      <c r="D345" s="10">
        <v>720</v>
      </c>
      <c r="E345" s="12">
        <v>340.1</v>
      </c>
      <c r="F345" s="1">
        <v>15.399999999999999</v>
      </c>
      <c r="G345" s="1">
        <f t="shared" si="14"/>
        <v>6</v>
      </c>
      <c r="H345" s="1">
        <f t="shared" si="15"/>
        <v>45.283018867924532</v>
      </c>
      <c r="I345" s="1">
        <v>6.9832976041313374E-2</v>
      </c>
      <c r="J345" s="1">
        <v>1.5422204643929014</v>
      </c>
      <c r="K345" s="1">
        <v>639357.39099999995</v>
      </c>
      <c r="L345" s="1">
        <v>414569.38599999994</v>
      </c>
      <c r="M345">
        <v>968</v>
      </c>
      <c r="N345" s="6">
        <v>0</v>
      </c>
    </row>
    <row r="346" spans="1:14" x14ac:dyDescent="0.25">
      <c r="A346" s="10">
        <v>60</v>
      </c>
      <c r="B346" s="10">
        <v>100</v>
      </c>
      <c r="C346" s="12">
        <v>2.93</v>
      </c>
      <c r="D346" s="10">
        <v>600</v>
      </c>
      <c r="E346" s="12">
        <v>293.5</v>
      </c>
      <c r="F346" s="1">
        <v>24.009999999999998</v>
      </c>
      <c r="G346" s="1">
        <f t="shared" si="14"/>
        <v>10</v>
      </c>
      <c r="H346" s="1">
        <f t="shared" si="15"/>
        <v>20.477815699658702</v>
      </c>
      <c r="I346" s="1">
        <v>0.17722318008948312</v>
      </c>
      <c r="J346" s="1">
        <v>2.1663891443674843</v>
      </c>
      <c r="K346" s="1">
        <v>265106.92740000004</v>
      </c>
      <c r="L346" s="1">
        <v>122372.71779599998</v>
      </c>
      <c r="M346">
        <v>490</v>
      </c>
      <c r="N346" s="6">
        <v>0</v>
      </c>
    </row>
    <row r="347" spans="1:14" x14ac:dyDescent="0.25">
      <c r="A347" s="10">
        <v>80</v>
      </c>
      <c r="B347" s="10">
        <v>100</v>
      </c>
      <c r="C347" s="12">
        <v>2.93</v>
      </c>
      <c r="D347" s="10">
        <v>600</v>
      </c>
      <c r="E347" s="12">
        <v>293.5</v>
      </c>
      <c r="F347" s="1">
        <v>24.009999999999998</v>
      </c>
      <c r="G347" s="1">
        <f t="shared" si="14"/>
        <v>7.5</v>
      </c>
      <c r="H347" s="1">
        <f t="shared" si="15"/>
        <v>27.303754266211602</v>
      </c>
      <c r="I347" s="1">
        <v>0.1462074088669115</v>
      </c>
      <c r="J347" s="1">
        <v>1.7872500834001888</v>
      </c>
      <c r="K347" s="1">
        <v>299505.1274</v>
      </c>
      <c r="L347" s="1">
        <v>167578.74579599997</v>
      </c>
      <c r="M347">
        <v>680</v>
      </c>
      <c r="N347" s="6">
        <v>0</v>
      </c>
    </row>
    <row r="348" spans="1:14" x14ac:dyDescent="0.25">
      <c r="A348" s="10">
        <v>60</v>
      </c>
      <c r="B348" s="10">
        <v>120</v>
      </c>
      <c r="C348" s="12">
        <v>2.93</v>
      </c>
      <c r="D348" s="10">
        <v>600</v>
      </c>
      <c r="E348" s="12">
        <v>293.5</v>
      </c>
      <c r="F348" s="1">
        <v>24.009999999999998</v>
      </c>
      <c r="G348" s="1">
        <f t="shared" si="14"/>
        <v>10</v>
      </c>
      <c r="H348" s="1">
        <f t="shared" si="15"/>
        <v>20.477815699658702</v>
      </c>
      <c r="I348" s="1">
        <v>0.16513534438714494</v>
      </c>
      <c r="J348" s="1">
        <v>2.0186265546700142</v>
      </c>
      <c r="K348" s="1">
        <v>299505.1274</v>
      </c>
      <c r="L348" s="1">
        <v>148370.745796</v>
      </c>
      <c r="M348">
        <v>570</v>
      </c>
      <c r="N348" s="6">
        <v>0</v>
      </c>
    </row>
    <row r="349" spans="1:14" x14ac:dyDescent="0.25">
      <c r="A349" s="10">
        <v>90</v>
      </c>
      <c r="B349" s="10">
        <v>120</v>
      </c>
      <c r="C349" s="12">
        <v>2.93</v>
      </c>
      <c r="D349" s="10">
        <v>600</v>
      </c>
      <c r="E349" s="12">
        <v>293.5</v>
      </c>
      <c r="F349" s="1">
        <v>24.009999999999998</v>
      </c>
      <c r="G349" s="1">
        <f t="shared" si="14"/>
        <v>6.666666666666667</v>
      </c>
      <c r="H349" s="1">
        <f t="shared" si="15"/>
        <v>30.716723549488052</v>
      </c>
      <c r="I349" s="1">
        <v>0.12456193626907576</v>
      </c>
      <c r="J349" s="1">
        <v>1.5226542396907012</v>
      </c>
      <c r="K349" s="1">
        <v>351102.42739999975</v>
      </c>
      <c r="L349" s="1">
        <v>230585.78779599999</v>
      </c>
      <c r="M349">
        <v>825</v>
      </c>
      <c r="N349" s="6">
        <v>0</v>
      </c>
    </row>
    <row r="350" spans="1:14" x14ac:dyDescent="0.25">
      <c r="A350" s="10">
        <v>100</v>
      </c>
      <c r="B350" s="10">
        <v>100</v>
      </c>
      <c r="C350" s="10">
        <v>1.9</v>
      </c>
      <c r="D350" s="10">
        <v>300</v>
      </c>
      <c r="E350" s="10">
        <v>404</v>
      </c>
      <c r="F350" s="1">
        <v>106.39999999999998</v>
      </c>
      <c r="G350" s="1">
        <f t="shared" si="14"/>
        <v>3</v>
      </c>
      <c r="H350" s="1">
        <f t="shared" si="15"/>
        <v>52.631578947368425</v>
      </c>
      <c r="I350" s="1">
        <v>8.0562411123741628E-2</v>
      </c>
      <c r="J350" s="1">
        <v>0.30589486930443255</v>
      </c>
      <c r="K350" s="1">
        <v>301206.23999999982</v>
      </c>
      <c r="L350" s="1">
        <v>984672.41599999985</v>
      </c>
      <c r="M350">
        <v>1209</v>
      </c>
      <c r="N350" s="6">
        <v>0</v>
      </c>
    </row>
    <row r="351" spans="1:14" x14ac:dyDescent="0.25">
      <c r="A351" s="10">
        <v>100</v>
      </c>
      <c r="B351" s="10">
        <v>100</v>
      </c>
      <c r="C351" s="10">
        <v>1.9</v>
      </c>
      <c r="D351" s="10">
        <v>300</v>
      </c>
      <c r="E351" s="10">
        <v>404</v>
      </c>
      <c r="F351" s="1">
        <v>106.39999999999998</v>
      </c>
      <c r="G351" s="1">
        <f t="shared" si="14"/>
        <v>3</v>
      </c>
      <c r="H351" s="1">
        <f t="shared" si="15"/>
        <v>52.631578947368425</v>
      </c>
      <c r="I351" s="1">
        <v>8.0562411123741628E-2</v>
      </c>
      <c r="J351" s="1">
        <v>0.30589486930443255</v>
      </c>
      <c r="K351" s="1">
        <v>301206.23999999982</v>
      </c>
      <c r="L351" s="1">
        <v>984672.41599999985</v>
      </c>
      <c r="M351">
        <v>1220</v>
      </c>
      <c r="N351" s="6">
        <v>0</v>
      </c>
    </row>
    <row r="352" spans="1:14" x14ac:dyDescent="0.25">
      <c r="A352" s="10">
        <v>100</v>
      </c>
      <c r="B352" s="10">
        <v>100</v>
      </c>
      <c r="C352" s="10">
        <v>1.9</v>
      </c>
      <c r="D352" s="10">
        <v>300</v>
      </c>
      <c r="E352" s="10">
        <v>404</v>
      </c>
      <c r="F352" s="1">
        <v>106.39999999999998</v>
      </c>
      <c r="G352" s="1">
        <f t="shared" si="14"/>
        <v>3</v>
      </c>
      <c r="H352" s="1">
        <f t="shared" si="15"/>
        <v>52.631578947368425</v>
      </c>
      <c r="I352" s="1">
        <v>8.0562411123741628E-2</v>
      </c>
      <c r="J352" s="1">
        <v>0.30589486930443255</v>
      </c>
      <c r="K352" s="1">
        <v>301206.23999999982</v>
      </c>
      <c r="L352" s="1">
        <v>984672.41599999985</v>
      </c>
      <c r="M352">
        <v>1190</v>
      </c>
      <c r="N352" s="6">
        <v>0</v>
      </c>
    </row>
    <row r="353" spans="1:14" x14ac:dyDescent="0.25">
      <c r="A353" s="10">
        <v>100</v>
      </c>
      <c r="B353" s="10">
        <v>100</v>
      </c>
      <c r="C353" s="10">
        <v>1.9</v>
      </c>
      <c r="D353" s="10">
        <v>300</v>
      </c>
      <c r="E353" s="10">
        <v>404</v>
      </c>
      <c r="F353" s="1">
        <v>106.39999999999998</v>
      </c>
      <c r="G353" s="1">
        <f t="shared" si="14"/>
        <v>3</v>
      </c>
      <c r="H353" s="1">
        <f t="shared" si="15"/>
        <v>52.631578947368425</v>
      </c>
      <c r="I353" s="1">
        <v>8.0562411123741628E-2</v>
      </c>
      <c r="J353" s="1">
        <v>0.30589486930443255</v>
      </c>
      <c r="K353" s="1">
        <v>301206.23999999982</v>
      </c>
      <c r="L353" s="1">
        <v>984672.41599999985</v>
      </c>
      <c r="M353">
        <v>1220</v>
      </c>
      <c r="N353" s="6">
        <v>1</v>
      </c>
    </row>
    <row r="354" spans="1:14" x14ac:dyDescent="0.25">
      <c r="A354" s="10">
        <v>100</v>
      </c>
      <c r="B354" s="10">
        <v>100</v>
      </c>
      <c r="C354" s="10">
        <v>1.9</v>
      </c>
      <c r="D354" s="10">
        <v>900</v>
      </c>
      <c r="E354" s="10">
        <v>404</v>
      </c>
      <c r="F354" s="1">
        <v>106.39999999999998</v>
      </c>
      <c r="G354" s="1">
        <f t="shared" si="14"/>
        <v>9</v>
      </c>
      <c r="H354" s="1">
        <f t="shared" si="15"/>
        <v>52.631578947368425</v>
      </c>
      <c r="I354" s="1">
        <v>8.0562411123741628E-2</v>
      </c>
      <c r="J354" s="1">
        <v>0.30589486930443255</v>
      </c>
      <c r="K354" s="1">
        <v>301206.23999999982</v>
      </c>
      <c r="L354" s="1">
        <v>984672.41599999985</v>
      </c>
      <c r="M354">
        <v>1013</v>
      </c>
      <c r="N354" s="6">
        <v>1</v>
      </c>
    </row>
    <row r="355" spans="1:14" x14ac:dyDescent="0.25">
      <c r="A355" s="10">
        <v>100</v>
      </c>
      <c r="B355" s="10">
        <v>100</v>
      </c>
      <c r="C355" s="10">
        <v>1.9</v>
      </c>
      <c r="D355" s="10">
        <v>900</v>
      </c>
      <c r="E355" s="10">
        <v>404</v>
      </c>
      <c r="F355" s="1">
        <v>106.39999999999998</v>
      </c>
      <c r="G355" s="1">
        <f t="shared" si="14"/>
        <v>9</v>
      </c>
      <c r="H355" s="1">
        <f t="shared" si="15"/>
        <v>52.631578947368425</v>
      </c>
      <c r="I355" s="1">
        <v>8.0562411123741628E-2</v>
      </c>
      <c r="J355" s="1">
        <v>0.30589486930443255</v>
      </c>
      <c r="K355" s="1">
        <v>301206.23999999982</v>
      </c>
      <c r="L355" s="1">
        <v>984672.41599999985</v>
      </c>
      <c r="M355">
        <v>1010</v>
      </c>
      <c r="N355" s="6">
        <v>1</v>
      </c>
    </row>
    <row r="356" spans="1:14" x14ac:dyDescent="0.25">
      <c r="A356" s="10">
        <v>100</v>
      </c>
      <c r="B356" s="10">
        <v>100</v>
      </c>
      <c r="C356" s="10">
        <v>1.9</v>
      </c>
      <c r="D356" s="10">
        <v>1500</v>
      </c>
      <c r="E356" s="10">
        <v>404</v>
      </c>
      <c r="F356" s="1">
        <v>106.39999999999998</v>
      </c>
      <c r="G356" s="1">
        <f t="shared" si="14"/>
        <v>15</v>
      </c>
      <c r="H356" s="1">
        <f t="shared" si="15"/>
        <v>52.631578947368425</v>
      </c>
      <c r="I356" s="1">
        <v>8.0562411123741628E-2</v>
      </c>
      <c r="J356" s="1">
        <v>0.30589486930443255</v>
      </c>
      <c r="K356" s="1">
        <v>301206.23999999982</v>
      </c>
      <c r="L356" s="1">
        <v>984672.41599999985</v>
      </c>
      <c r="M356">
        <v>915</v>
      </c>
      <c r="N356" s="6">
        <v>1</v>
      </c>
    </row>
    <row r="357" spans="1:14" x14ac:dyDescent="0.25">
      <c r="A357" s="10">
        <v>100</v>
      </c>
      <c r="B357" s="10">
        <v>100</v>
      </c>
      <c r="C357" s="10">
        <v>1.9</v>
      </c>
      <c r="D357" s="13">
        <v>1500</v>
      </c>
      <c r="E357" s="13">
        <v>404</v>
      </c>
      <c r="F357" s="1">
        <v>106.39999999999998</v>
      </c>
      <c r="G357" s="1">
        <f t="shared" si="14"/>
        <v>15</v>
      </c>
      <c r="H357" s="1">
        <f t="shared" si="15"/>
        <v>52.631578947368425</v>
      </c>
      <c r="I357" s="1">
        <v>8.0562411123741628E-2</v>
      </c>
      <c r="J357" s="1">
        <v>0.30589486930443255</v>
      </c>
      <c r="K357" s="1">
        <v>301206.23999999982</v>
      </c>
      <c r="L357" s="1">
        <v>984672.41599999985</v>
      </c>
      <c r="M357">
        <v>945</v>
      </c>
      <c r="N357" s="6">
        <v>1</v>
      </c>
    </row>
    <row r="358" spans="1:14" x14ac:dyDescent="0.25">
      <c r="A358" s="10">
        <v>100</v>
      </c>
      <c r="B358" s="10">
        <v>100</v>
      </c>
      <c r="C358" s="10">
        <v>1.9</v>
      </c>
      <c r="D358" s="10">
        <v>3000</v>
      </c>
      <c r="E358" s="10">
        <v>404</v>
      </c>
      <c r="F358" s="1">
        <v>106.39999999999998</v>
      </c>
      <c r="G358" s="1">
        <f t="shared" si="14"/>
        <v>30</v>
      </c>
      <c r="H358" s="1">
        <f t="shared" si="15"/>
        <v>52.631578947368425</v>
      </c>
      <c r="I358" s="1">
        <v>8.0562411123741628E-2</v>
      </c>
      <c r="J358" s="1">
        <v>0.30589486930443255</v>
      </c>
      <c r="K358" s="1">
        <v>301206.23999999982</v>
      </c>
      <c r="L358" s="1">
        <v>984672.41599999985</v>
      </c>
      <c r="M358">
        <v>474</v>
      </c>
      <c r="N358" s="6">
        <v>1</v>
      </c>
    </row>
    <row r="359" spans="1:14" x14ac:dyDescent="0.25">
      <c r="A359" s="10">
        <v>100</v>
      </c>
      <c r="B359" s="10">
        <v>100</v>
      </c>
      <c r="C359" s="10">
        <v>1.9</v>
      </c>
      <c r="D359" s="10">
        <v>3000</v>
      </c>
      <c r="E359" s="10">
        <v>404</v>
      </c>
      <c r="F359" s="1">
        <v>106.39999999999998</v>
      </c>
      <c r="G359" s="1">
        <f t="shared" si="14"/>
        <v>30</v>
      </c>
      <c r="H359" s="1">
        <f t="shared" si="15"/>
        <v>52.631578947368425</v>
      </c>
      <c r="I359" s="1">
        <v>8.0562411123741628E-2</v>
      </c>
      <c r="J359" s="1">
        <v>0.30589486930443255</v>
      </c>
      <c r="K359" s="1">
        <v>301206.23999999982</v>
      </c>
      <c r="L359" s="1">
        <v>984672.41599999985</v>
      </c>
      <c r="M359">
        <v>466</v>
      </c>
      <c r="N359" s="6">
        <v>1</v>
      </c>
    </row>
    <row r="360" spans="1:14" x14ac:dyDescent="0.25">
      <c r="A360" s="10">
        <v>150</v>
      </c>
      <c r="B360" s="10">
        <v>150</v>
      </c>
      <c r="C360" s="10">
        <v>3</v>
      </c>
      <c r="D360" s="10">
        <v>675</v>
      </c>
      <c r="E360" s="10">
        <v>324.39999999999998</v>
      </c>
      <c r="F360" s="1">
        <v>46.024999999999999</v>
      </c>
      <c r="G360" s="1">
        <f t="shared" si="14"/>
        <v>4.5</v>
      </c>
      <c r="H360" s="1">
        <f t="shared" si="15"/>
        <v>50</v>
      </c>
      <c r="I360" s="1">
        <v>8.5069444444444448E-2</v>
      </c>
      <c r="J360" s="1">
        <v>0.59959864807773544</v>
      </c>
      <c r="K360" s="1">
        <v>572241.6</v>
      </c>
      <c r="L360" s="1">
        <v>954374.4</v>
      </c>
      <c r="M360">
        <v>1516</v>
      </c>
      <c r="N360" s="6">
        <v>0</v>
      </c>
    </row>
    <row r="361" spans="1:14" x14ac:dyDescent="0.25">
      <c r="A361" s="10">
        <v>150</v>
      </c>
      <c r="B361" s="10">
        <v>150</v>
      </c>
      <c r="C361" s="10">
        <v>3</v>
      </c>
      <c r="D361" s="10">
        <v>900</v>
      </c>
      <c r="E361" s="10">
        <v>324.39999999999998</v>
      </c>
      <c r="F361" s="1">
        <v>46.024999999999999</v>
      </c>
      <c r="G361" s="1">
        <f t="shared" si="14"/>
        <v>6</v>
      </c>
      <c r="H361" s="1">
        <f t="shared" si="15"/>
        <v>50</v>
      </c>
      <c r="I361" s="1">
        <v>8.5069444444444448E-2</v>
      </c>
      <c r="J361" s="1">
        <v>0.59959864807773544</v>
      </c>
      <c r="K361" s="1">
        <v>572241.6</v>
      </c>
      <c r="L361" s="1">
        <v>954374.4</v>
      </c>
      <c r="M361">
        <v>1599</v>
      </c>
      <c r="N361" s="6">
        <v>0</v>
      </c>
    </row>
    <row r="362" spans="1:14" x14ac:dyDescent="0.25">
      <c r="A362" s="10">
        <v>249.6</v>
      </c>
      <c r="B362" s="10">
        <v>249.6</v>
      </c>
      <c r="C362" s="10">
        <v>3.7</v>
      </c>
      <c r="D362" s="10">
        <v>750</v>
      </c>
      <c r="E362" s="10">
        <v>324.3</v>
      </c>
      <c r="F362" s="1">
        <v>35.349999999999994</v>
      </c>
      <c r="G362" s="1">
        <f t="shared" si="14"/>
        <v>3.0048076923076925</v>
      </c>
      <c r="H362" s="1">
        <f t="shared" si="15"/>
        <v>67.459459459459453</v>
      </c>
      <c r="I362" s="1">
        <v>6.2040025338880249E-2</v>
      </c>
      <c r="J362" s="1">
        <v>0.56915361293914768</v>
      </c>
      <c r="K362" s="1">
        <v>1180231.476</v>
      </c>
      <c r="L362" s="1">
        <v>2073660.6939999994</v>
      </c>
      <c r="M362">
        <v>3131</v>
      </c>
      <c r="N362" s="6">
        <v>0</v>
      </c>
    </row>
    <row r="363" spans="1:14" x14ac:dyDescent="0.25">
      <c r="A363" s="10">
        <v>251</v>
      </c>
      <c r="B363" s="10">
        <v>251</v>
      </c>
      <c r="C363" s="10">
        <v>3.75</v>
      </c>
      <c r="D363" s="10">
        <v>750</v>
      </c>
      <c r="E363" s="10">
        <v>324.3</v>
      </c>
      <c r="F363" s="1">
        <v>35.349999999999994</v>
      </c>
      <c r="G363" s="1">
        <f t="shared" si="14"/>
        <v>2.9880478087649402</v>
      </c>
      <c r="H363" s="1">
        <f t="shared" si="15"/>
        <v>66.933333333333337</v>
      </c>
      <c r="I363" s="1">
        <v>6.2550333306629444E-2</v>
      </c>
      <c r="J363" s="1">
        <v>0.57383516524299671</v>
      </c>
      <c r="K363" s="1">
        <v>1202747.625</v>
      </c>
      <c r="L363" s="1">
        <v>2095981.0374999996</v>
      </c>
      <c r="M363">
        <v>2832</v>
      </c>
      <c r="N363" s="6">
        <v>0</v>
      </c>
    </row>
    <row r="364" spans="1:14" x14ac:dyDescent="0.25">
      <c r="A364" s="10">
        <v>251.1</v>
      </c>
      <c r="B364" s="10">
        <v>251.1</v>
      </c>
      <c r="C364" s="10">
        <v>3.73</v>
      </c>
      <c r="D364" s="10">
        <v>750</v>
      </c>
      <c r="E364" s="10">
        <v>324.3</v>
      </c>
      <c r="F364" s="1">
        <v>35.349999999999994</v>
      </c>
      <c r="G364" s="1">
        <f t="shared" si="14"/>
        <v>2.9868578255675029</v>
      </c>
      <c r="H364" s="1">
        <f t="shared" si="15"/>
        <v>67.31903485254692</v>
      </c>
      <c r="I364" s="1">
        <v>6.2175411825048016E-2</v>
      </c>
      <c r="J364" s="1">
        <v>0.57039564511635299</v>
      </c>
      <c r="K364" s="1">
        <v>1196913.5977200021</v>
      </c>
      <c r="L364" s="1">
        <v>2098391.8933599992</v>
      </c>
      <c r="M364">
        <v>2677</v>
      </c>
      <c r="N364" s="6">
        <v>0</v>
      </c>
    </row>
    <row r="365" spans="1:14" x14ac:dyDescent="0.25">
      <c r="A365" s="10">
        <v>101</v>
      </c>
      <c r="B365" s="10">
        <v>203</v>
      </c>
      <c r="C365" s="10">
        <v>8.2750000000000004</v>
      </c>
      <c r="D365" s="10">
        <v>607</v>
      </c>
      <c r="E365" s="10">
        <v>488.38</v>
      </c>
      <c r="F365" s="1">
        <v>37.799999999999997</v>
      </c>
      <c r="G365" s="1">
        <f t="shared" si="14"/>
        <v>6.0099009900990099</v>
      </c>
      <c r="H365" s="1">
        <f t="shared" si="15"/>
        <v>12.205438066465256</v>
      </c>
      <c r="I365" s="1">
        <v>0.30213307408799328</v>
      </c>
      <c r="J365" s="1">
        <v>3.9035912889707447</v>
      </c>
      <c r="K365" s="1">
        <v>2323368.9530500001</v>
      </c>
      <c r="L365" s="1">
        <v>595187.55449999997</v>
      </c>
      <c r="M365">
        <v>3090</v>
      </c>
      <c r="N365" s="6">
        <v>0</v>
      </c>
    </row>
    <row r="366" spans="1:14" x14ac:dyDescent="0.25">
      <c r="A366" s="10">
        <v>102</v>
      </c>
      <c r="B366" s="10">
        <v>203</v>
      </c>
      <c r="C366" s="10">
        <v>8.2750000000000004</v>
      </c>
      <c r="D366" s="10">
        <v>603</v>
      </c>
      <c r="E366" s="10">
        <v>488.38</v>
      </c>
      <c r="F366" s="1">
        <v>48.387499999999989</v>
      </c>
      <c r="G366" s="1">
        <f t="shared" si="14"/>
        <v>5.9117647058823533</v>
      </c>
      <c r="H366" s="1">
        <f t="shared" si="15"/>
        <v>12.326283987915406</v>
      </c>
      <c r="I366" s="1">
        <v>0.29963606612477506</v>
      </c>
      <c r="J366" s="1">
        <v>3.0242575453168206</v>
      </c>
      <c r="K366" s="1">
        <v>2331451.6420499999</v>
      </c>
      <c r="L366" s="1">
        <v>770917.02909374982</v>
      </c>
      <c r="M366">
        <v>3230</v>
      </c>
      <c r="N366" s="6">
        <v>0</v>
      </c>
    </row>
    <row r="367" spans="1:14" x14ac:dyDescent="0.25">
      <c r="A367" s="10">
        <v>119</v>
      </c>
      <c r="B367" s="10">
        <v>183</v>
      </c>
      <c r="C367" s="10">
        <v>8.2750000000000004</v>
      </c>
      <c r="D367" s="10">
        <v>541</v>
      </c>
      <c r="E367" s="10">
        <v>488.38</v>
      </c>
      <c r="F367" s="1">
        <v>37.799999999999997</v>
      </c>
      <c r="G367" s="1">
        <f t="shared" si="14"/>
        <v>4.5462184873949578</v>
      </c>
      <c r="H367" s="1">
        <f t="shared" si="15"/>
        <v>14.380664652567976</v>
      </c>
      <c r="I367" s="1">
        <v>0.27703349640037189</v>
      </c>
      <c r="J367" s="1">
        <v>3.5793020892067098</v>
      </c>
      <c r="K367" s="1">
        <v>2307203.575050001</v>
      </c>
      <c r="L367" s="1">
        <v>644595.93449999986</v>
      </c>
      <c r="M367">
        <v>3300</v>
      </c>
      <c r="N367" s="6">
        <v>0</v>
      </c>
    </row>
    <row r="368" spans="1:14" x14ac:dyDescent="0.25">
      <c r="A368" s="10">
        <v>122</v>
      </c>
      <c r="B368" s="10">
        <v>182</v>
      </c>
      <c r="C368" s="10">
        <v>8.2750000000000004</v>
      </c>
      <c r="D368" s="10">
        <v>541</v>
      </c>
      <c r="E368" s="10">
        <v>488.38</v>
      </c>
      <c r="F368" s="1">
        <v>48.387499999999989</v>
      </c>
      <c r="G368" s="1">
        <f t="shared" si="14"/>
        <v>4.4344262295081966</v>
      </c>
      <c r="H368" s="1">
        <f t="shared" si="15"/>
        <v>14.743202416918429</v>
      </c>
      <c r="I368" s="1">
        <v>0.2726760257418272</v>
      </c>
      <c r="J368" s="1">
        <v>2.7521470927779608</v>
      </c>
      <c r="K368" s="1">
        <v>2323368.9530500001</v>
      </c>
      <c r="L368" s="1">
        <v>844202.31721874978</v>
      </c>
      <c r="M368">
        <v>3380</v>
      </c>
      <c r="N368" s="6">
        <v>0</v>
      </c>
    </row>
    <row r="369" spans="1:14" x14ac:dyDescent="0.25">
      <c r="A369" s="10">
        <v>150</v>
      </c>
      <c r="B369" s="10">
        <v>150</v>
      </c>
      <c r="C369" s="10">
        <v>8.2750000000000004</v>
      </c>
      <c r="D369" s="10">
        <v>453</v>
      </c>
      <c r="E369" s="10">
        <v>488.38</v>
      </c>
      <c r="F369" s="1">
        <v>37.799999999999997</v>
      </c>
      <c r="G369" s="1">
        <f t="shared" si="14"/>
        <v>3.02</v>
      </c>
      <c r="H369" s="1">
        <f t="shared" si="15"/>
        <v>18.126888217522659</v>
      </c>
      <c r="I369" s="1">
        <v>0.26341305984464819</v>
      </c>
      <c r="J369" s="1">
        <v>3.4033246075907213</v>
      </c>
      <c r="K369" s="1">
        <v>2291038.1970500015</v>
      </c>
      <c r="L369" s="1">
        <v>673176.51449999982</v>
      </c>
      <c r="M369">
        <v>3500</v>
      </c>
      <c r="N369" s="6">
        <v>0</v>
      </c>
    </row>
    <row r="370" spans="1:14" x14ac:dyDescent="0.25">
      <c r="A370" s="10">
        <v>150</v>
      </c>
      <c r="B370" s="10">
        <v>152</v>
      </c>
      <c r="C370" s="10">
        <v>8.2750000000000004</v>
      </c>
      <c r="D370" s="10">
        <v>451</v>
      </c>
      <c r="E370" s="10">
        <v>488.38</v>
      </c>
      <c r="F370" s="1">
        <v>48.387499999999989</v>
      </c>
      <c r="G370" s="1">
        <f t="shared" si="14"/>
        <v>3.0066666666666668</v>
      </c>
      <c r="H370" s="1">
        <f t="shared" si="15"/>
        <v>18.126888217522659</v>
      </c>
      <c r="I370" s="1">
        <v>0.26135478632276504</v>
      </c>
      <c r="J370" s="1">
        <v>2.6378806622435969</v>
      </c>
      <c r="K370" s="1">
        <v>2307203.575050001</v>
      </c>
      <c r="L370" s="1">
        <v>874642.89346874971</v>
      </c>
      <c r="M370">
        <v>3575</v>
      </c>
      <c r="N370" s="6">
        <v>0</v>
      </c>
    </row>
    <row r="371" spans="1:14" x14ac:dyDescent="0.25">
      <c r="A371" s="10">
        <v>100</v>
      </c>
      <c r="B371" s="10">
        <v>120</v>
      </c>
      <c r="C371" s="10">
        <v>5.7</v>
      </c>
      <c r="D371" s="10">
        <v>361</v>
      </c>
      <c r="E371" s="10">
        <v>514.53</v>
      </c>
      <c r="F371" s="1">
        <v>37.799999999999997</v>
      </c>
      <c r="G371" s="1">
        <f t="shared" si="14"/>
        <v>3.61</v>
      </c>
      <c r="H371" s="1">
        <f t="shared" si="15"/>
        <v>17.543859649122805</v>
      </c>
      <c r="I371" s="1">
        <v>0.24714715089233391</v>
      </c>
      <c r="J371" s="1">
        <v>3.3641434801225549</v>
      </c>
      <c r="K371" s="1">
        <v>1223572.9212000004</v>
      </c>
      <c r="L371" s="1">
        <v>363710.08799999993</v>
      </c>
      <c r="M371">
        <v>1960</v>
      </c>
      <c r="N371" s="6">
        <v>0</v>
      </c>
    </row>
    <row r="372" spans="1:14" x14ac:dyDescent="0.25">
      <c r="A372" s="10">
        <v>100</v>
      </c>
      <c r="B372" s="10">
        <v>120</v>
      </c>
      <c r="C372" s="10">
        <v>5.7</v>
      </c>
      <c r="D372" s="10">
        <v>360</v>
      </c>
      <c r="E372" s="10">
        <v>514.53</v>
      </c>
      <c r="F372" s="1">
        <v>48.387499999999989</v>
      </c>
      <c r="G372" s="1">
        <f t="shared" si="14"/>
        <v>3.6</v>
      </c>
      <c r="H372" s="1">
        <f t="shared" si="15"/>
        <v>17.543859649122805</v>
      </c>
      <c r="I372" s="1">
        <v>0.24714715089233391</v>
      </c>
      <c r="J372" s="1">
        <v>2.6280469862801881</v>
      </c>
      <c r="K372" s="1">
        <v>1223572.9212000004</v>
      </c>
      <c r="L372" s="1">
        <v>465582.58949999983</v>
      </c>
      <c r="M372">
        <v>2100</v>
      </c>
      <c r="N372" s="6">
        <v>0</v>
      </c>
    </row>
    <row r="373" spans="1:14" x14ac:dyDescent="0.25">
      <c r="A373" s="10">
        <v>121</v>
      </c>
      <c r="B373" s="10">
        <v>182</v>
      </c>
      <c r="C373" s="10">
        <v>5.7</v>
      </c>
      <c r="D373" s="10">
        <v>540</v>
      </c>
      <c r="E373" s="10">
        <v>514.53</v>
      </c>
      <c r="F373" s="1">
        <v>37.799999999999997</v>
      </c>
      <c r="G373" s="1">
        <f t="shared" si="14"/>
        <v>4.4628099173553721</v>
      </c>
      <c r="H373" s="1">
        <f t="shared" si="15"/>
        <v>21.228070175438596</v>
      </c>
      <c r="I373" s="1">
        <v>0.17778814146721328</v>
      </c>
      <c r="J373" s="1">
        <v>2.4200352494477579</v>
      </c>
      <c r="K373" s="1">
        <v>1710421.2072000008</v>
      </c>
      <c r="L373" s="1">
        <v>706775.32799999986</v>
      </c>
      <c r="M373">
        <v>2485</v>
      </c>
      <c r="N373" s="6">
        <v>0</v>
      </c>
    </row>
    <row r="374" spans="1:14" x14ac:dyDescent="0.25">
      <c r="A374" s="10">
        <v>122</v>
      </c>
      <c r="B374" s="10">
        <v>181</v>
      </c>
      <c r="C374" s="10">
        <v>5.7</v>
      </c>
      <c r="D374" s="10">
        <v>540</v>
      </c>
      <c r="E374" s="10">
        <v>514.53</v>
      </c>
      <c r="F374" s="1">
        <v>48.387499999999989</v>
      </c>
      <c r="G374" s="1">
        <f t="shared" si="14"/>
        <v>4.4262295081967213</v>
      </c>
      <c r="H374" s="1">
        <f t="shared" si="15"/>
        <v>21.403508771929825</v>
      </c>
      <c r="I374" s="1">
        <v>0.17721945477498388</v>
      </c>
      <c r="J374" s="1">
        <v>1.8844686347790747</v>
      </c>
      <c r="K374" s="1">
        <v>1710421.2072000008</v>
      </c>
      <c r="L374" s="1">
        <v>907641.11199999973</v>
      </c>
      <c r="M374">
        <v>2710</v>
      </c>
      <c r="N374" s="6">
        <v>0</v>
      </c>
    </row>
    <row r="375" spans="1:14" x14ac:dyDescent="0.25">
      <c r="A375" s="10">
        <v>103</v>
      </c>
      <c r="B375" s="10">
        <v>121</v>
      </c>
      <c r="C375" s="10">
        <v>7.69</v>
      </c>
      <c r="D375" s="10">
        <v>363</v>
      </c>
      <c r="E375" s="10">
        <v>423.2</v>
      </c>
      <c r="F375" s="1">
        <v>37.799999999999997</v>
      </c>
      <c r="G375" s="1">
        <f t="shared" si="14"/>
        <v>3.5242718446601944</v>
      </c>
      <c r="H375" s="1">
        <f t="shared" si="15"/>
        <v>13.394018205461638</v>
      </c>
      <c r="I375" s="1">
        <v>0.34670720309736364</v>
      </c>
      <c r="J375" s="1">
        <v>3.881653130973659</v>
      </c>
      <c r="K375" s="1">
        <v>1357869.1939199993</v>
      </c>
      <c r="L375" s="1">
        <v>349817.24232000002</v>
      </c>
      <c r="M375">
        <v>2545</v>
      </c>
      <c r="N375" s="6">
        <v>0</v>
      </c>
    </row>
    <row r="376" spans="1:14" x14ac:dyDescent="0.25">
      <c r="A376" s="10">
        <v>101</v>
      </c>
      <c r="B376" s="10">
        <v>120</v>
      </c>
      <c r="C376" s="10">
        <v>7.69</v>
      </c>
      <c r="D376" s="10">
        <v>358</v>
      </c>
      <c r="E376" s="10">
        <v>423.2</v>
      </c>
      <c r="F376" s="1">
        <v>48.387499999999989</v>
      </c>
      <c r="G376" s="1">
        <f t="shared" si="14"/>
        <v>3.5445544554455446</v>
      </c>
      <c r="H376" s="1">
        <f t="shared" si="15"/>
        <v>13.133940182054616</v>
      </c>
      <c r="I376" s="1">
        <v>0.35304637050669696</v>
      </c>
      <c r="J376" s="1">
        <v>3.0877648979268235</v>
      </c>
      <c r="K376" s="1">
        <v>1338342.7459199994</v>
      </c>
      <c r="L376" s="1">
        <v>433434.14740499994</v>
      </c>
      <c r="M376">
        <v>2730</v>
      </c>
      <c r="N376" s="6">
        <v>0</v>
      </c>
    </row>
    <row r="377" spans="1:14" x14ac:dyDescent="0.25">
      <c r="A377" s="10">
        <v>119</v>
      </c>
      <c r="B377" s="10">
        <v>179</v>
      </c>
      <c r="C377" s="10">
        <v>7.69</v>
      </c>
      <c r="D377" s="10">
        <v>542</v>
      </c>
      <c r="E377" s="10">
        <v>423.2</v>
      </c>
      <c r="F377" s="1">
        <v>37.799999999999997</v>
      </c>
      <c r="G377" s="1">
        <f t="shared" si="14"/>
        <v>4.5546218487394956</v>
      </c>
      <c r="H377" s="1">
        <f t="shared" si="15"/>
        <v>15.474642392717815</v>
      </c>
      <c r="I377" s="1">
        <v>0.25637711211555214</v>
      </c>
      <c r="J377" s="1">
        <v>2.870338461568827</v>
      </c>
      <c r="K377" s="1">
        <v>1839521.5779199996</v>
      </c>
      <c r="L377" s="1">
        <v>640872.70632</v>
      </c>
      <c r="M377">
        <v>3130</v>
      </c>
      <c r="N377" s="6">
        <v>0</v>
      </c>
    </row>
    <row r="378" spans="1:14" x14ac:dyDescent="0.25">
      <c r="A378" s="10">
        <v>120</v>
      </c>
      <c r="B378" s="10">
        <v>180</v>
      </c>
      <c r="C378" s="10">
        <v>7.69</v>
      </c>
      <c r="D378" s="10">
        <v>545</v>
      </c>
      <c r="E378" s="10">
        <v>423.2</v>
      </c>
      <c r="F378" s="1">
        <v>48.387499999999989</v>
      </c>
      <c r="G378" s="1">
        <f t="shared" si="14"/>
        <v>4.541666666666667</v>
      </c>
      <c r="H378" s="1">
        <f t="shared" si="15"/>
        <v>15.604681404421326</v>
      </c>
      <c r="I378" s="1">
        <v>0.25417008650591705</v>
      </c>
      <c r="J378" s="1">
        <v>2.2229869410344429</v>
      </c>
      <c r="K378" s="1">
        <v>1852539.2099199989</v>
      </c>
      <c r="L378" s="1">
        <v>833355.86715499987</v>
      </c>
      <c r="M378">
        <v>3150</v>
      </c>
      <c r="N378" s="6">
        <v>0</v>
      </c>
    </row>
    <row r="379" spans="1:14" x14ac:dyDescent="0.25">
      <c r="A379" s="10">
        <v>101.6</v>
      </c>
      <c r="B379" s="10">
        <v>101.6</v>
      </c>
      <c r="C379" s="10">
        <v>3</v>
      </c>
      <c r="D379" s="10">
        <v>1000</v>
      </c>
      <c r="E379" s="10">
        <v>483.9</v>
      </c>
      <c r="F379" s="1">
        <v>21.84</v>
      </c>
      <c r="G379" s="1">
        <f t="shared" si="14"/>
        <v>9.8425196850393704</v>
      </c>
      <c r="H379" s="1">
        <f t="shared" si="15"/>
        <v>33.866666666666667</v>
      </c>
      <c r="I379" s="1">
        <v>0.12946201922235265</v>
      </c>
      <c r="J379" s="1">
        <v>2.8684373215062475</v>
      </c>
      <c r="K379" s="1">
        <v>572550.48000000033</v>
      </c>
      <c r="L379" s="1">
        <v>199603.62239999996</v>
      </c>
      <c r="M379">
        <v>718.88</v>
      </c>
      <c r="N379" s="6">
        <v>1</v>
      </c>
    </row>
    <row r="380" spans="1:14" x14ac:dyDescent="0.25">
      <c r="A380" s="10">
        <v>101.6</v>
      </c>
      <c r="B380" s="10">
        <v>101.6</v>
      </c>
      <c r="C380" s="10">
        <v>3</v>
      </c>
      <c r="D380" s="10">
        <v>1500</v>
      </c>
      <c r="E380" s="10">
        <v>483.9</v>
      </c>
      <c r="F380" s="1">
        <v>21.84</v>
      </c>
      <c r="G380" s="1">
        <f t="shared" si="14"/>
        <v>14.763779527559056</v>
      </c>
      <c r="H380" s="1">
        <f t="shared" si="15"/>
        <v>33.866666666666667</v>
      </c>
      <c r="I380" s="1">
        <v>0.12946201922235265</v>
      </c>
      <c r="J380" s="1">
        <v>2.8684373215062475</v>
      </c>
      <c r="K380" s="1">
        <v>572550.48000000033</v>
      </c>
      <c r="L380" s="1">
        <v>199603.62239999996</v>
      </c>
      <c r="M380">
        <v>691.38</v>
      </c>
      <c r="N380" s="6">
        <v>1</v>
      </c>
    </row>
    <row r="381" spans="1:14" x14ac:dyDescent="0.25">
      <c r="A381" s="10">
        <v>101.6</v>
      </c>
      <c r="B381" s="10">
        <v>101.6</v>
      </c>
      <c r="C381" s="10">
        <v>3</v>
      </c>
      <c r="D381" s="10">
        <v>2000</v>
      </c>
      <c r="E381" s="10">
        <v>483.9</v>
      </c>
      <c r="F381" s="1">
        <v>21.84</v>
      </c>
      <c r="G381" s="1">
        <f t="shared" si="14"/>
        <v>19.685039370078741</v>
      </c>
      <c r="H381" s="1">
        <f t="shared" si="15"/>
        <v>33.866666666666667</v>
      </c>
      <c r="I381" s="1">
        <v>0.12946201922235265</v>
      </c>
      <c r="J381" s="1">
        <v>2.8684373215062475</v>
      </c>
      <c r="K381" s="1">
        <v>572550.48000000033</v>
      </c>
      <c r="L381" s="1">
        <v>199603.62239999996</v>
      </c>
      <c r="M381">
        <v>589.48</v>
      </c>
      <c r="N381" s="6">
        <v>1</v>
      </c>
    </row>
    <row r="382" spans="1:14" x14ac:dyDescent="0.25">
      <c r="A382" s="10">
        <v>101.6</v>
      </c>
      <c r="B382" s="10">
        <v>101.6</v>
      </c>
      <c r="C382" s="10">
        <v>3</v>
      </c>
      <c r="D382" s="10">
        <v>2500</v>
      </c>
      <c r="E382" s="10">
        <v>483.9</v>
      </c>
      <c r="F382" s="1">
        <v>21.84</v>
      </c>
      <c r="G382" s="1">
        <f t="shared" si="14"/>
        <v>24.606299212598426</v>
      </c>
      <c r="H382" s="1">
        <f t="shared" si="15"/>
        <v>33.866666666666667</v>
      </c>
      <c r="I382" s="1">
        <v>0.12946201922235265</v>
      </c>
      <c r="J382" s="1">
        <v>2.8684373215062475</v>
      </c>
      <c r="K382" s="1">
        <v>572550.48000000033</v>
      </c>
      <c r="L382" s="1">
        <v>199603.62239999996</v>
      </c>
      <c r="M382">
        <v>471.29</v>
      </c>
      <c r="N382" s="6">
        <v>1</v>
      </c>
    </row>
    <row r="383" spans="1:14" x14ac:dyDescent="0.25">
      <c r="A383" s="10">
        <v>120</v>
      </c>
      <c r="B383" s="10">
        <v>120</v>
      </c>
      <c r="C383" s="10">
        <v>3.5</v>
      </c>
      <c r="D383" s="10">
        <v>1000</v>
      </c>
      <c r="E383" s="10">
        <v>401</v>
      </c>
      <c r="F383" s="1">
        <v>21.84</v>
      </c>
      <c r="G383" s="1">
        <f t="shared" si="14"/>
        <v>8.3333333333333339</v>
      </c>
      <c r="H383" s="1">
        <f t="shared" si="15"/>
        <v>34.285714285714285</v>
      </c>
      <c r="I383" s="1">
        <v>0.12773122405826612</v>
      </c>
      <c r="J383" s="1">
        <v>2.345248207296919</v>
      </c>
      <c r="K383" s="1">
        <v>654031</v>
      </c>
      <c r="L383" s="1">
        <v>278874.96000000002</v>
      </c>
      <c r="M383">
        <v>1164.1600000000001</v>
      </c>
      <c r="N383" s="6">
        <v>1</v>
      </c>
    </row>
    <row r="384" spans="1:14" x14ac:dyDescent="0.25">
      <c r="A384" s="10">
        <v>120</v>
      </c>
      <c r="B384" s="10">
        <v>120</v>
      </c>
      <c r="C384" s="10">
        <v>3.5</v>
      </c>
      <c r="D384" s="10">
        <v>1500</v>
      </c>
      <c r="E384" s="10">
        <v>401</v>
      </c>
      <c r="F384" s="1">
        <v>21.84</v>
      </c>
      <c r="G384" s="1">
        <f t="shared" si="14"/>
        <v>12.5</v>
      </c>
      <c r="H384" s="1">
        <f t="shared" si="15"/>
        <v>34.285714285714285</v>
      </c>
      <c r="I384" s="1">
        <v>0.12773122405826612</v>
      </c>
      <c r="J384" s="1">
        <v>2.345248207296919</v>
      </c>
      <c r="K384" s="1">
        <v>654031</v>
      </c>
      <c r="L384" s="1">
        <v>278874.96000000002</v>
      </c>
      <c r="M384">
        <v>997.19</v>
      </c>
      <c r="N384" s="6">
        <v>1</v>
      </c>
    </row>
    <row r="385" spans="1:14" x14ac:dyDescent="0.25">
      <c r="A385" s="10">
        <v>120</v>
      </c>
      <c r="B385" s="10">
        <v>120</v>
      </c>
      <c r="C385" s="10">
        <v>3.5</v>
      </c>
      <c r="D385" s="10">
        <v>2000</v>
      </c>
      <c r="E385" s="10">
        <v>401</v>
      </c>
      <c r="F385" s="1">
        <v>21.84</v>
      </c>
      <c r="G385" s="1">
        <f t="shared" si="14"/>
        <v>16.666666666666668</v>
      </c>
      <c r="H385" s="1">
        <f t="shared" si="15"/>
        <v>34.285714285714285</v>
      </c>
      <c r="I385" s="1">
        <v>0.12773122405826612</v>
      </c>
      <c r="J385" s="1">
        <v>2.345248207296919</v>
      </c>
      <c r="K385" s="1">
        <v>654031</v>
      </c>
      <c r="L385" s="1">
        <v>278874.96000000002</v>
      </c>
      <c r="M385">
        <v>899.65</v>
      </c>
      <c r="N385" s="6">
        <v>1</v>
      </c>
    </row>
    <row r="386" spans="1:14" x14ac:dyDescent="0.25">
      <c r="A386" s="10">
        <v>120</v>
      </c>
      <c r="B386" s="10">
        <v>120</v>
      </c>
      <c r="C386" s="10">
        <v>3.5</v>
      </c>
      <c r="D386" s="10">
        <v>2500</v>
      </c>
      <c r="E386" s="10">
        <v>401</v>
      </c>
      <c r="F386" s="1">
        <v>21.84</v>
      </c>
      <c r="G386" s="1">
        <f t="shared" ref="G386:G449" si="16">D386/A386</f>
        <v>20.833333333333332</v>
      </c>
      <c r="H386" s="1">
        <f t="shared" ref="H386:H449" si="17">A386/C386</f>
        <v>34.285714285714285</v>
      </c>
      <c r="I386" s="1">
        <v>0.12773122405826612</v>
      </c>
      <c r="J386" s="1">
        <v>2.345248207296919</v>
      </c>
      <c r="K386" s="1">
        <v>654031</v>
      </c>
      <c r="L386" s="1">
        <v>278874.96000000002</v>
      </c>
      <c r="M386">
        <v>729.1</v>
      </c>
      <c r="N386" s="6">
        <v>1</v>
      </c>
    </row>
    <row r="387" spans="1:14" x14ac:dyDescent="0.25">
      <c r="A387" s="10">
        <v>150</v>
      </c>
      <c r="B387" s="10">
        <v>150</v>
      </c>
      <c r="C387" s="10">
        <v>3.5</v>
      </c>
      <c r="D387" s="10">
        <v>1000</v>
      </c>
      <c r="E387" s="10">
        <v>405</v>
      </c>
      <c r="F387" s="1">
        <v>21.84</v>
      </c>
      <c r="G387" s="1">
        <f t="shared" si="16"/>
        <v>6.666666666666667</v>
      </c>
      <c r="H387" s="1">
        <f t="shared" si="17"/>
        <v>42.857142857142854</v>
      </c>
      <c r="I387" s="1">
        <v>0.10029830309550589</v>
      </c>
      <c r="J387" s="1">
        <v>1.8599273238864418</v>
      </c>
      <c r="K387" s="1">
        <v>830655</v>
      </c>
      <c r="L387" s="1">
        <v>446606.16</v>
      </c>
      <c r="M387">
        <v>1516.26</v>
      </c>
      <c r="N387" s="6">
        <v>1</v>
      </c>
    </row>
    <row r="388" spans="1:14" x14ac:dyDescent="0.25">
      <c r="A388" s="10">
        <v>150</v>
      </c>
      <c r="B388" s="10">
        <v>150</v>
      </c>
      <c r="C388" s="10">
        <v>3.5</v>
      </c>
      <c r="D388" s="10">
        <v>1500</v>
      </c>
      <c r="E388" s="10">
        <v>405</v>
      </c>
      <c r="F388" s="1">
        <v>21.84</v>
      </c>
      <c r="G388" s="1">
        <f t="shared" si="16"/>
        <v>10</v>
      </c>
      <c r="H388" s="1">
        <f t="shared" si="17"/>
        <v>42.857142857142854</v>
      </c>
      <c r="I388" s="1">
        <v>0.10029830309550589</v>
      </c>
      <c r="J388" s="1">
        <v>1.8599273238864418</v>
      </c>
      <c r="K388" s="1">
        <v>830655</v>
      </c>
      <c r="L388" s="1">
        <v>446606.16</v>
      </c>
      <c r="M388">
        <v>1330.13</v>
      </c>
      <c r="N388" s="6">
        <v>1</v>
      </c>
    </row>
    <row r="389" spans="1:14" x14ac:dyDescent="0.25">
      <c r="A389" s="10">
        <v>150</v>
      </c>
      <c r="B389" s="10">
        <v>150</v>
      </c>
      <c r="C389" s="10">
        <v>3.5</v>
      </c>
      <c r="D389" s="10">
        <v>2000</v>
      </c>
      <c r="E389" s="10">
        <v>405</v>
      </c>
      <c r="F389" s="1">
        <v>21.84</v>
      </c>
      <c r="G389" s="1">
        <f t="shared" si="16"/>
        <v>13.333333333333334</v>
      </c>
      <c r="H389" s="1">
        <f t="shared" si="17"/>
        <v>42.857142857142854</v>
      </c>
      <c r="I389" s="1">
        <v>0.10029830309550589</v>
      </c>
      <c r="J389" s="1">
        <v>1.8599273238864418</v>
      </c>
      <c r="K389" s="1">
        <v>830655</v>
      </c>
      <c r="L389" s="1">
        <v>446606.16</v>
      </c>
      <c r="M389">
        <v>1307.6099999999999</v>
      </c>
      <c r="N389" s="6">
        <v>1</v>
      </c>
    </row>
    <row r="390" spans="1:14" x14ac:dyDescent="0.25">
      <c r="A390" s="10">
        <v>150</v>
      </c>
      <c r="B390" s="10">
        <v>150</v>
      </c>
      <c r="C390" s="10">
        <v>3.5</v>
      </c>
      <c r="D390" s="10">
        <v>2500</v>
      </c>
      <c r="E390" s="10">
        <v>405</v>
      </c>
      <c r="F390" s="1">
        <v>21.84</v>
      </c>
      <c r="G390" s="1">
        <f t="shared" si="16"/>
        <v>16.666666666666668</v>
      </c>
      <c r="H390" s="1">
        <f t="shared" si="17"/>
        <v>42.857142857142854</v>
      </c>
      <c r="I390" s="1">
        <v>0.10029830309550589</v>
      </c>
      <c r="J390" s="1">
        <v>1.8599273238864418</v>
      </c>
      <c r="K390" s="1">
        <v>830655</v>
      </c>
      <c r="L390" s="1">
        <v>446606.16</v>
      </c>
      <c r="M390">
        <v>1198.25</v>
      </c>
      <c r="N390" s="6">
        <v>1</v>
      </c>
    </row>
    <row r="391" spans="1:14" x14ac:dyDescent="0.25">
      <c r="A391" s="10">
        <v>60</v>
      </c>
      <c r="B391" s="10">
        <v>60</v>
      </c>
      <c r="C391" s="10">
        <v>3</v>
      </c>
      <c r="D391" s="10">
        <v>2700</v>
      </c>
      <c r="E391" s="10">
        <v>351.51</v>
      </c>
      <c r="F391" s="1">
        <v>25.2</v>
      </c>
      <c r="G391" s="1">
        <f t="shared" si="16"/>
        <v>45</v>
      </c>
      <c r="H391" s="1">
        <f t="shared" si="17"/>
        <v>20</v>
      </c>
      <c r="I391" s="1">
        <v>0.23456790123456789</v>
      </c>
      <c r="J391" s="1">
        <v>3.2719429747207527</v>
      </c>
      <c r="K391" s="1">
        <v>240432.84</v>
      </c>
      <c r="L391" s="1">
        <v>73483.199999999997</v>
      </c>
      <c r="M391">
        <v>105.4</v>
      </c>
      <c r="N391" s="6">
        <v>1</v>
      </c>
    </row>
    <row r="392" spans="1:14" x14ac:dyDescent="0.25">
      <c r="A392" s="10">
        <v>60</v>
      </c>
      <c r="B392" s="10">
        <v>60</v>
      </c>
      <c r="C392" s="10">
        <v>4</v>
      </c>
      <c r="D392" s="10">
        <v>2700</v>
      </c>
      <c r="E392" s="10">
        <v>528.54999999999995</v>
      </c>
      <c r="F392" s="1">
        <v>25.2</v>
      </c>
      <c r="G392" s="1">
        <f t="shared" si="16"/>
        <v>45</v>
      </c>
      <c r="H392" s="1">
        <f t="shared" si="17"/>
        <v>15</v>
      </c>
      <c r="I392" s="1">
        <v>0.33136094674556216</v>
      </c>
      <c r="J392" s="1">
        <v>6.9500328731097945</v>
      </c>
      <c r="K392" s="1">
        <v>473580.79999999993</v>
      </c>
      <c r="L392" s="1">
        <v>68140.800000000003</v>
      </c>
      <c r="M392">
        <v>127.7</v>
      </c>
      <c r="N392" s="6">
        <v>1</v>
      </c>
    </row>
    <row r="393" spans="1:14" x14ac:dyDescent="0.25">
      <c r="A393" s="10">
        <v>60</v>
      </c>
      <c r="B393" s="10">
        <v>60</v>
      </c>
      <c r="C393" s="10">
        <v>4.5</v>
      </c>
      <c r="D393" s="10">
        <v>2700</v>
      </c>
      <c r="E393" s="10">
        <v>522.11</v>
      </c>
      <c r="F393" s="1">
        <v>25.2</v>
      </c>
      <c r="G393" s="1">
        <f t="shared" si="16"/>
        <v>45</v>
      </c>
      <c r="H393" s="1">
        <f t="shared" si="17"/>
        <v>13.333333333333334</v>
      </c>
      <c r="I393" s="1">
        <v>0.38408304498269896</v>
      </c>
      <c r="J393" s="1">
        <v>7.9576824847586103</v>
      </c>
      <c r="K393" s="1">
        <v>521587.89</v>
      </c>
      <c r="L393" s="1">
        <v>65545.2</v>
      </c>
      <c r="M393">
        <v>156</v>
      </c>
      <c r="N393" s="6">
        <v>1</v>
      </c>
    </row>
    <row r="394" spans="1:14" x14ac:dyDescent="0.25">
      <c r="A394" s="10">
        <v>63</v>
      </c>
      <c r="B394" s="10">
        <v>63</v>
      </c>
      <c r="C394" s="10">
        <v>3</v>
      </c>
      <c r="D394" s="10">
        <v>2700</v>
      </c>
      <c r="E394" s="10">
        <v>442.69</v>
      </c>
      <c r="F394" s="1">
        <v>25.2</v>
      </c>
      <c r="G394" s="1">
        <f t="shared" si="16"/>
        <v>42.857142857142854</v>
      </c>
      <c r="H394" s="1">
        <f t="shared" si="17"/>
        <v>21</v>
      </c>
      <c r="I394" s="1">
        <v>0.22160664819944598</v>
      </c>
      <c r="J394" s="1">
        <v>3.892978059183045</v>
      </c>
      <c r="K394" s="1">
        <v>318736.8</v>
      </c>
      <c r="L394" s="1">
        <v>81874.8</v>
      </c>
      <c r="M394">
        <v>123.6</v>
      </c>
      <c r="N394" s="6">
        <v>1</v>
      </c>
    </row>
    <row r="395" spans="1:14" x14ac:dyDescent="0.25">
      <c r="A395" s="10">
        <v>63</v>
      </c>
      <c r="B395" s="10">
        <v>63</v>
      </c>
      <c r="C395" s="10">
        <v>4</v>
      </c>
      <c r="D395" s="10">
        <v>2700</v>
      </c>
      <c r="E395" s="10">
        <v>517.49</v>
      </c>
      <c r="F395" s="1">
        <v>25.2</v>
      </c>
      <c r="G395" s="1">
        <f t="shared" si="16"/>
        <v>42.857142857142854</v>
      </c>
      <c r="H395" s="1">
        <f t="shared" si="17"/>
        <v>15.75</v>
      </c>
      <c r="I395" s="1">
        <v>0.31206611570247933</v>
      </c>
      <c r="J395" s="1">
        <v>6.4083767545585726</v>
      </c>
      <c r="K395" s="1">
        <v>488510.56</v>
      </c>
      <c r="L395" s="1">
        <v>76230</v>
      </c>
      <c r="M395">
        <v>154.69999999999999</v>
      </c>
      <c r="N395" s="6">
        <v>1</v>
      </c>
    </row>
    <row r="396" spans="1:14" x14ac:dyDescent="0.25">
      <c r="A396" s="10">
        <v>63</v>
      </c>
      <c r="B396" s="10">
        <v>63</v>
      </c>
      <c r="C396" s="10">
        <v>4.5</v>
      </c>
      <c r="D396" s="10">
        <v>2700</v>
      </c>
      <c r="E396" s="10">
        <v>449.95</v>
      </c>
      <c r="F396" s="1">
        <v>25.2</v>
      </c>
      <c r="G396" s="1">
        <f t="shared" si="16"/>
        <v>42.857142857142854</v>
      </c>
      <c r="H396" s="1">
        <f t="shared" si="17"/>
        <v>14</v>
      </c>
      <c r="I396" s="1">
        <v>0.3611111111111111</v>
      </c>
      <c r="J396" s="1">
        <v>6.447696208112875</v>
      </c>
      <c r="K396" s="1">
        <v>473797.35</v>
      </c>
      <c r="L396" s="1">
        <v>73483.199999999997</v>
      </c>
      <c r="M396">
        <v>168.6</v>
      </c>
      <c r="N396" s="6">
        <v>1</v>
      </c>
    </row>
    <row r="397" spans="1:14" x14ac:dyDescent="0.25">
      <c r="A397" s="10">
        <v>76</v>
      </c>
      <c r="B397" s="10">
        <v>76</v>
      </c>
      <c r="C397" s="10">
        <v>3</v>
      </c>
      <c r="D397" s="10">
        <v>2700</v>
      </c>
      <c r="E397" s="10">
        <v>441.12</v>
      </c>
      <c r="F397" s="1">
        <v>25.2</v>
      </c>
      <c r="G397" s="1">
        <f t="shared" si="16"/>
        <v>35.526315789473685</v>
      </c>
      <c r="H397" s="1">
        <f t="shared" si="17"/>
        <v>25.333333333333332</v>
      </c>
      <c r="I397" s="1">
        <v>0.17877551020408164</v>
      </c>
      <c r="J397" s="1">
        <v>3.1294227405247814</v>
      </c>
      <c r="K397" s="1">
        <v>386421.12</v>
      </c>
      <c r="L397" s="1">
        <v>123480</v>
      </c>
      <c r="M397">
        <v>212</v>
      </c>
      <c r="N397" s="6">
        <v>1</v>
      </c>
    </row>
    <row r="398" spans="1:14" x14ac:dyDescent="0.25">
      <c r="A398" s="10">
        <v>76</v>
      </c>
      <c r="B398" s="10">
        <v>76</v>
      </c>
      <c r="C398" s="10">
        <v>4</v>
      </c>
      <c r="D398" s="10">
        <v>2700</v>
      </c>
      <c r="E398" s="10">
        <v>498.38</v>
      </c>
      <c r="F398" s="1">
        <v>25.2</v>
      </c>
      <c r="G398" s="1">
        <f t="shared" si="16"/>
        <v>35.526315789473685</v>
      </c>
      <c r="H398" s="1">
        <f t="shared" si="17"/>
        <v>19</v>
      </c>
      <c r="I398" s="1">
        <v>0.2491349480968858</v>
      </c>
      <c r="J398" s="1">
        <v>4.9271379139891254</v>
      </c>
      <c r="K398" s="1">
        <v>574133.76000000001</v>
      </c>
      <c r="L398" s="1">
        <v>116524.8</v>
      </c>
      <c r="M398">
        <v>247.3</v>
      </c>
      <c r="N398" s="6">
        <v>1</v>
      </c>
    </row>
    <row r="399" spans="1:14" x14ac:dyDescent="0.25">
      <c r="A399" s="10">
        <v>76</v>
      </c>
      <c r="B399" s="10">
        <v>76</v>
      </c>
      <c r="C399" s="10">
        <v>4.5</v>
      </c>
      <c r="D399" s="10">
        <v>2700</v>
      </c>
      <c r="E399" s="10">
        <v>500.97</v>
      </c>
      <c r="F399" s="1">
        <v>25.2</v>
      </c>
      <c r="G399" s="1">
        <f t="shared" si="16"/>
        <v>35.526315789473685</v>
      </c>
      <c r="H399" s="1">
        <f t="shared" si="17"/>
        <v>16.888888888888889</v>
      </c>
      <c r="I399" s="1">
        <v>0.28670082423702381</v>
      </c>
      <c r="J399" s="1">
        <v>5.6995441237310249</v>
      </c>
      <c r="K399" s="1">
        <v>644748.39</v>
      </c>
      <c r="L399" s="1">
        <v>113122.8</v>
      </c>
      <c r="M399">
        <v>266.5</v>
      </c>
      <c r="N399" s="6">
        <v>1</v>
      </c>
    </row>
    <row r="400" spans="1:14" x14ac:dyDescent="0.25">
      <c r="A400" s="10">
        <v>100</v>
      </c>
      <c r="B400" s="10">
        <v>100</v>
      </c>
      <c r="C400" s="10">
        <v>3</v>
      </c>
      <c r="D400" s="10">
        <v>2700</v>
      </c>
      <c r="E400" s="10">
        <v>441.19</v>
      </c>
      <c r="F400" s="1">
        <v>25.2</v>
      </c>
      <c r="G400" s="1">
        <f t="shared" si="16"/>
        <v>27</v>
      </c>
      <c r="H400" s="1">
        <f t="shared" si="17"/>
        <v>33.333333333333336</v>
      </c>
      <c r="I400" s="1">
        <v>0.13173381620642824</v>
      </c>
      <c r="J400" s="1">
        <v>2.3063350147664319</v>
      </c>
      <c r="K400" s="1">
        <v>513545.16</v>
      </c>
      <c r="L400" s="1">
        <v>222667.19999999998</v>
      </c>
      <c r="M400">
        <v>405</v>
      </c>
      <c r="N400" s="6">
        <v>1</v>
      </c>
    </row>
    <row r="401" spans="1:14" x14ac:dyDescent="0.25">
      <c r="A401" s="10">
        <v>100</v>
      </c>
      <c r="B401" s="10">
        <v>100</v>
      </c>
      <c r="C401" s="10">
        <v>4.5</v>
      </c>
      <c r="D401" s="10">
        <v>2700</v>
      </c>
      <c r="E401" s="10">
        <v>424.49</v>
      </c>
      <c r="F401" s="1">
        <v>25.2</v>
      </c>
      <c r="G401" s="1">
        <f t="shared" si="16"/>
        <v>27</v>
      </c>
      <c r="H401" s="1">
        <f t="shared" si="17"/>
        <v>22.222222222222221</v>
      </c>
      <c r="I401" s="1">
        <v>0.20758362516604276</v>
      </c>
      <c r="J401" s="1">
        <v>3.4967132161402183</v>
      </c>
      <c r="K401" s="1">
        <v>729698.31</v>
      </c>
      <c r="L401" s="1">
        <v>208681.19999999998</v>
      </c>
      <c r="M401">
        <v>501.71</v>
      </c>
      <c r="N401" s="6">
        <v>1</v>
      </c>
    </row>
    <row r="402" spans="1:14" x14ac:dyDescent="0.25">
      <c r="A402" s="10">
        <v>120</v>
      </c>
      <c r="B402" s="10">
        <v>120</v>
      </c>
      <c r="C402" s="10">
        <v>3</v>
      </c>
      <c r="D402" s="10">
        <v>2700</v>
      </c>
      <c r="E402" s="10">
        <v>400.77</v>
      </c>
      <c r="F402" s="1">
        <v>25.2</v>
      </c>
      <c r="G402" s="1">
        <f t="shared" si="16"/>
        <v>22.5</v>
      </c>
      <c r="H402" s="1">
        <f t="shared" si="17"/>
        <v>40</v>
      </c>
      <c r="I402" s="1">
        <v>0.10803324099722991</v>
      </c>
      <c r="J402" s="1">
        <v>1.718114364859517</v>
      </c>
      <c r="K402" s="1">
        <v>562681.07999999996</v>
      </c>
      <c r="L402" s="1">
        <v>327499.2</v>
      </c>
      <c r="M402">
        <v>770.38499999999999</v>
      </c>
      <c r="N402" s="6">
        <v>1</v>
      </c>
    </row>
    <row r="403" spans="1:14" x14ac:dyDescent="0.25">
      <c r="A403" s="10">
        <v>120</v>
      </c>
      <c r="B403" s="10">
        <v>120</v>
      </c>
      <c r="C403" s="10">
        <v>4.5</v>
      </c>
      <c r="D403" s="10">
        <v>2700</v>
      </c>
      <c r="E403" s="10">
        <v>436.54</v>
      </c>
      <c r="F403" s="1">
        <v>25.2</v>
      </c>
      <c r="G403" s="1">
        <f t="shared" si="16"/>
        <v>22.5</v>
      </c>
      <c r="H403" s="1">
        <f t="shared" si="17"/>
        <v>26.666666666666668</v>
      </c>
      <c r="I403" s="1">
        <v>0.16873630387143901</v>
      </c>
      <c r="J403" s="1">
        <v>2.9230216703189678</v>
      </c>
      <c r="K403" s="1">
        <v>907566.66</v>
      </c>
      <c r="L403" s="1">
        <v>310489.2</v>
      </c>
      <c r="M403">
        <v>830</v>
      </c>
      <c r="N403" s="6">
        <v>1</v>
      </c>
    </row>
    <row r="404" spans="1:14" x14ac:dyDescent="0.25">
      <c r="A404" s="10">
        <v>150</v>
      </c>
      <c r="B404" s="10">
        <v>150</v>
      </c>
      <c r="C404" s="10">
        <v>3</v>
      </c>
      <c r="D404" s="10">
        <v>2700</v>
      </c>
      <c r="E404" s="10">
        <v>429.14</v>
      </c>
      <c r="F404" s="1">
        <v>25.2</v>
      </c>
      <c r="G404" s="1">
        <f t="shared" si="16"/>
        <v>18</v>
      </c>
      <c r="H404" s="1">
        <f t="shared" si="17"/>
        <v>50</v>
      </c>
      <c r="I404" s="1">
        <v>8.5069444444444448E-2</v>
      </c>
      <c r="J404" s="1">
        <v>1.4486786265432097</v>
      </c>
      <c r="K404" s="1">
        <v>757002.96</v>
      </c>
      <c r="L404" s="1">
        <v>522547.20000000001</v>
      </c>
      <c r="M404">
        <v>1087.0999999999999</v>
      </c>
      <c r="N404" s="6">
        <v>1</v>
      </c>
    </row>
    <row r="405" spans="1:14" x14ac:dyDescent="0.25">
      <c r="A405" s="10">
        <v>150</v>
      </c>
      <c r="B405" s="10">
        <v>150</v>
      </c>
      <c r="C405" s="10">
        <v>4.5</v>
      </c>
      <c r="D405" s="10">
        <v>2700</v>
      </c>
      <c r="E405" s="10">
        <v>334.8</v>
      </c>
      <c r="F405" s="1">
        <v>25.2</v>
      </c>
      <c r="G405" s="1">
        <f t="shared" si="16"/>
        <v>18</v>
      </c>
      <c r="H405" s="1">
        <f t="shared" si="17"/>
        <v>33.333333333333336</v>
      </c>
      <c r="I405" s="1">
        <v>0.13173381620642824</v>
      </c>
      <c r="J405" s="1">
        <v>1.7501778438854039</v>
      </c>
      <c r="K405" s="1">
        <v>876841.20000000007</v>
      </c>
      <c r="L405" s="1">
        <v>501001.2</v>
      </c>
      <c r="M405">
        <v>1285.0999999999999</v>
      </c>
      <c r="N405" s="6">
        <v>1</v>
      </c>
    </row>
    <row r="406" spans="1:14" x14ac:dyDescent="0.25">
      <c r="A406" s="10">
        <v>73.930000000000007</v>
      </c>
      <c r="B406" s="10">
        <v>73.930000000000007</v>
      </c>
      <c r="C406" s="10">
        <v>4.8899999999999997</v>
      </c>
      <c r="D406" s="10">
        <v>1512</v>
      </c>
      <c r="E406" s="10">
        <v>762</v>
      </c>
      <c r="F406" s="1">
        <v>98.874999999999986</v>
      </c>
      <c r="G406" s="1">
        <f t="shared" si="16"/>
        <v>20.451778709590151</v>
      </c>
      <c r="H406" s="1">
        <f t="shared" si="17"/>
        <v>15.118609406952968</v>
      </c>
      <c r="I406" s="1">
        <v>0.32815294920262517</v>
      </c>
      <c r="J406" s="1">
        <v>2.5289764580773748</v>
      </c>
      <c r="K406" s="1">
        <v>1029021.8688000003</v>
      </c>
      <c r="L406" s="1">
        <v>406892.62468750001</v>
      </c>
      <c r="M406">
        <v>1732</v>
      </c>
      <c r="N406" s="6">
        <v>2</v>
      </c>
    </row>
    <row r="407" spans="1:14" x14ac:dyDescent="0.25">
      <c r="A407" s="10">
        <v>73.84</v>
      </c>
      <c r="B407" s="10">
        <v>73.84</v>
      </c>
      <c r="C407" s="10">
        <v>4.8899999999999997</v>
      </c>
      <c r="D407" s="10">
        <v>1512</v>
      </c>
      <c r="E407" s="10">
        <v>762</v>
      </c>
      <c r="F407" s="1">
        <v>98.874999999999986</v>
      </c>
      <c r="G407" s="1">
        <f t="shared" si="16"/>
        <v>20.47670639219935</v>
      </c>
      <c r="H407" s="1">
        <f t="shared" si="17"/>
        <v>15.100204498977506</v>
      </c>
      <c r="I407" s="1">
        <v>0.32864668221497395</v>
      </c>
      <c r="J407" s="1">
        <v>2.5327815104708993</v>
      </c>
      <c r="K407" s="1">
        <v>1027680.4440000003</v>
      </c>
      <c r="L407" s="1">
        <v>405751.71594999998</v>
      </c>
      <c r="M407">
        <v>1362</v>
      </c>
      <c r="N407" s="6">
        <v>2</v>
      </c>
    </row>
    <row r="408" spans="1:14" x14ac:dyDescent="0.25">
      <c r="A408" s="10">
        <v>73.599999999999994</v>
      </c>
      <c r="B408" s="10">
        <v>73.599999999999994</v>
      </c>
      <c r="C408" s="10">
        <v>4.96</v>
      </c>
      <c r="D408" s="10">
        <v>1512</v>
      </c>
      <c r="E408" s="10">
        <v>762</v>
      </c>
      <c r="F408" s="1">
        <v>98.874999999999986</v>
      </c>
      <c r="G408" s="1">
        <f t="shared" si="16"/>
        <v>20.543478260869566</v>
      </c>
      <c r="H408" s="1">
        <f t="shared" si="17"/>
        <v>14.838709677419354</v>
      </c>
      <c r="I408" s="1">
        <v>0.33582485290775488</v>
      </c>
      <c r="J408" s="1">
        <v>2.5881015212713954</v>
      </c>
      <c r="K408" s="1">
        <v>1037705.0111999998</v>
      </c>
      <c r="L408" s="1">
        <v>400952.20479999989</v>
      </c>
      <c r="M408">
        <v>1572</v>
      </c>
      <c r="N408" s="6">
        <v>2</v>
      </c>
    </row>
    <row r="409" spans="1:14" x14ac:dyDescent="0.25">
      <c r="A409" s="10">
        <v>98.87</v>
      </c>
      <c r="B409" s="10">
        <v>98.87</v>
      </c>
      <c r="C409" s="10">
        <v>4.93</v>
      </c>
      <c r="D409" s="10">
        <v>1512</v>
      </c>
      <c r="E409" s="10">
        <v>762</v>
      </c>
      <c r="F409" s="1">
        <v>98.874999999999986</v>
      </c>
      <c r="G409" s="1">
        <f t="shared" si="16"/>
        <v>15.29280873874785</v>
      </c>
      <c r="H409" s="1">
        <f t="shared" si="17"/>
        <v>20.054766734279919</v>
      </c>
      <c r="I409" s="1">
        <v>0.2338190353156463</v>
      </c>
      <c r="J409" s="1">
        <v>1.8019732481468773</v>
      </c>
      <c r="K409" s="1">
        <v>1411602.5615999999</v>
      </c>
      <c r="L409" s="1">
        <v>783364.88238750002</v>
      </c>
      <c r="M409">
        <v>2087</v>
      </c>
      <c r="N409" s="6">
        <v>2</v>
      </c>
    </row>
    <row r="410" spans="1:14" x14ac:dyDescent="0.25">
      <c r="A410" s="10">
        <v>98.89</v>
      </c>
      <c r="B410" s="10">
        <v>98.89</v>
      </c>
      <c r="C410" s="10">
        <v>4.92</v>
      </c>
      <c r="D410" s="10">
        <v>1512</v>
      </c>
      <c r="E410" s="10">
        <v>762</v>
      </c>
      <c r="F410" s="1">
        <v>98.874999999999986</v>
      </c>
      <c r="G410" s="1">
        <f t="shared" si="16"/>
        <v>15.289715845889372</v>
      </c>
      <c r="H410" s="1">
        <f t="shared" si="17"/>
        <v>20.099593495934961</v>
      </c>
      <c r="I410" s="1">
        <v>0.23320962647396992</v>
      </c>
      <c r="J410" s="1">
        <v>1.7972767167956014</v>
      </c>
      <c r="K410" s="1">
        <v>1409189.1551999999</v>
      </c>
      <c r="L410" s="1">
        <v>784069.10968749982</v>
      </c>
      <c r="M410">
        <v>2109</v>
      </c>
      <c r="N410" s="6">
        <v>2</v>
      </c>
    </row>
    <row r="411" spans="1:14" x14ac:dyDescent="0.25">
      <c r="A411" s="10">
        <v>99.29</v>
      </c>
      <c r="B411" s="10">
        <v>99.29</v>
      </c>
      <c r="C411" s="10">
        <v>4.8899999999999997</v>
      </c>
      <c r="D411" s="10">
        <v>1512</v>
      </c>
      <c r="E411" s="10">
        <v>762</v>
      </c>
      <c r="F411" s="1">
        <v>98.874999999999986</v>
      </c>
      <c r="G411" s="1">
        <f t="shared" si="16"/>
        <v>15.22811964951153</v>
      </c>
      <c r="H411" s="1">
        <f t="shared" si="17"/>
        <v>20.304703476482619</v>
      </c>
      <c r="I411" s="1">
        <v>0.23046115308384449</v>
      </c>
      <c r="J411" s="1">
        <v>1.776095055877517</v>
      </c>
      <c r="K411" s="1">
        <v>1407005.5680000007</v>
      </c>
      <c r="L411" s="1">
        <v>792190.46488750004</v>
      </c>
      <c r="M411">
        <v>2374</v>
      </c>
      <c r="N411" s="6">
        <v>2</v>
      </c>
    </row>
    <row r="412" spans="1:14" x14ac:dyDescent="0.25">
      <c r="A412" s="10">
        <v>124.12</v>
      </c>
      <c r="B412" s="10">
        <v>124.12</v>
      </c>
      <c r="C412" s="10">
        <v>4.93</v>
      </c>
      <c r="D412" s="10">
        <v>1512</v>
      </c>
      <c r="E412" s="10">
        <v>762</v>
      </c>
      <c r="F412" s="1">
        <v>98.874999999999986</v>
      </c>
      <c r="G412" s="1">
        <f t="shared" si="16"/>
        <v>12.181759587495971</v>
      </c>
      <c r="H412" s="1">
        <f t="shared" si="17"/>
        <v>25.176470588235297</v>
      </c>
      <c r="I412" s="1">
        <v>0.18003555876214272</v>
      </c>
      <c r="J412" s="1">
        <v>1.387480108993707</v>
      </c>
      <c r="K412" s="1">
        <v>1791025.2215999993</v>
      </c>
      <c r="L412" s="1">
        <v>1290847.4939499998</v>
      </c>
      <c r="M412">
        <v>3748</v>
      </c>
      <c r="N412" s="6">
        <v>0</v>
      </c>
    </row>
    <row r="413" spans="1:14" x14ac:dyDescent="0.25">
      <c r="A413" s="10">
        <v>124.39</v>
      </c>
      <c r="B413" s="10">
        <v>124.39</v>
      </c>
      <c r="C413" s="10">
        <v>4.8899999999999997</v>
      </c>
      <c r="D413" s="10">
        <v>1512</v>
      </c>
      <c r="E413" s="10">
        <v>762</v>
      </c>
      <c r="F413" s="1">
        <v>98.874999999999986</v>
      </c>
      <c r="G413" s="1">
        <f t="shared" si="16"/>
        <v>12.155317951603827</v>
      </c>
      <c r="H413" s="1">
        <f t="shared" si="17"/>
        <v>25.437627811860942</v>
      </c>
      <c r="I413" s="1">
        <v>0.17794743433307483</v>
      </c>
      <c r="J413" s="1">
        <v>1.3713875596642533</v>
      </c>
      <c r="K413" s="1">
        <v>1781114.04</v>
      </c>
      <c r="L413" s="1">
        <v>1298767.8263874999</v>
      </c>
      <c r="M413">
        <v>3560</v>
      </c>
      <c r="N413" s="6">
        <v>0</v>
      </c>
    </row>
    <row r="414" spans="1:14" x14ac:dyDescent="0.25">
      <c r="A414" s="10">
        <v>124.05</v>
      </c>
      <c r="B414" s="10">
        <v>124.05</v>
      </c>
      <c r="C414" s="10">
        <v>4.93</v>
      </c>
      <c r="D414" s="10">
        <v>1512</v>
      </c>
      <c r="E414" s="10">
        <v>762</v>
      </c>
      <c r="F414" s="1">
        <v>98.874999999999986</v>
      </c>
      <c r="G414" s="1">
        <f t="shared" si="16"/>
        <v>12.188633615477631</v>
      </c>
      <c r="H414" s="1">
        <f t="shared" si="17"/>
        <v>25.162271805273836</v>
      </c>
      <c r="I414" s="1">
        <v>0.18015049071326469</v>
      </c>
      <c r="J414" s="1">
        <v>1.3883658551050087</v>
      </c>
      <c r="K414" s="1">
        <v>1789973.3568000009</v>
      </c>
      <c r="L414" s="1">
        <v>1289266.3343874996</v>
      </c>
      <c r="M414">
        <v>2799</v>
      </c>
      <c r="N414" s="6">
        <v>0</v>
      </c>
    </row>
    <row r="415" spans="1:14" x14ac:dyDescent="0.25">
      <c r="A415" s="10">
        <v>74.36</v>
      </c>
      <c r="B415" s="10">
        <v>74.36</v>
      </c>
      <c r="C415" s="10">
        <v>4.9000000000000004</v>
      </c>
      <c r="D415" s="10">
        <v>2512</v>
      </c>
      <c r="E415" s="10">
        <v>762</v>
      </c>
      <c r="F415" s="1">
        <v>98.874999999999986</v>
      </c>
      <c r="G415" s="1">
        <f t="shared" si="16"/>
        <v>33.781603012372244</v>
      </c>
      <c r="H415" s="1">
        <f t="shared" si="17"/>
        <v>15.175510204081631</v>
      </c>
      <c r="I415" s="1">
        <v>0.32663581825077637</v>
      </c>
      <c r="J415" s="1">
        <v>2.5172843843953636</v>
      </c>
      <c r="K415" s="1">
        <v>1037398.9919999994</v>
      </c>
      <c r="L415" s="1">
        <v>412110.36720000004</v>
      </c>
      <c r="M415">
        <v>583</v>
      </c>
      <c r="N415" s="6">
        <v>1</v>
      </c>
    </row>
    <row r="416" spans="1:14" x14ac:dyDescent="0.25">
      <c r="A416" s="10">
        <v>74.44</v>
      </c>
      <c r="B416" s="10">
        <v>74.44</v>
      </c>
      <c r="C416" s="10">
        <v>4.9400000000000004</v>
      </c>
      <c r="D416" s="10">
        <v>2512</v>
      </c>
      <c r="E416" s="10">
        <v>762</v>
      </c>
      <c r="F416" s="1">
        <v>98.874999999999986</v>
      </c>
      <c r="G416" s="1">
        <f t="shared" si="16"/>
        <v>33.745298226759807</v>
      </c>
      <c r="H416" s="1">
        <f t="shared" si="17"/>
        <v>15.068825910931173</v>
      </c>
      <c r="I416" s="1">
        <v>0.32949186870152547</v>
      </c>
      <c r="J416" s="1">
        <v>2.539295109487357</v>
      </c>
      <c r="K416" s="1">
        <v>1046469.839999999</v>
      </c>
      <c r="L416" s="1">
        <v>412110.36720000004</v>
      </c>
      <c r="M416">
        <v>878</v>
      </c>
      <c r="N416" s="6">
        <v>1</v>
      </c>
    </row>
    <row r="417" spans="1:14" x14ac:dyDescent="0.25">
      <c r="A417" s="10">
        <v>75.08</v>
      </c>
      <c r="B417" s="10">
        <v>75.08</v>
      </c>
      <c r="C417" s="10">
        <v>4.92</v>
      </c>
      <c r="D417" s="10">
        <v>2512</v>
      </c>
      <c r="E417" s="10">
        <v>762</v>
      </c>
      <c r="F417" s="1">
        <v>98.874999999999986</v>
      </c>
      <c r="G417" s="1">
        <f t="shared" si="16"/>
        <v>33.457645178476291</v>
      </c>
      <c r="H417" s="1">
        <f t="shared" si="17"/>
        <v>15.260162601626016</v>
      </c>
      <c r="I417" s="1">
        <v>0.32440442514569623</v>
      </c>
      <c r="J417" s="1">
        <v>2.5000877063061497</v>
      </c>
      <c r="K417" s="1">
        <v>1052130.5856000003</v>
      </c>
      <c r="L417" s="1">
        <v>420837.47019999987</v>
      </c>
      <c r="M417">
        <v>594</v>
      </c>
      <c r="N417" s="6">
        <v>1</v>
      </c>
    </row>
    <row r="418" spans="1:14" x14ac:dyDescent="0.25">
      <c r="A418" s="10">
        <v>99.95</v>
      </c>
      <c r="B418" s="10">
        <v>99.95</v>
      </c>
      <c r="C418" s="10">
        <v>4.9000000000000004</v>
      </c>
      <c r="D418" s="10">
        <v>2512</v>
      </c>
      <c r="E418" s="10">
        <v>762</v>
      </c>
      <c r="F418" s="1">
        <v>98.874999999999986</v>
      </c>
      <c r="G418" s="1">
        <f t="shared" si="16"/>
        <v>25.132566283141571</v>
      </c>
      <c r="H418" s="1">
        <f t="shared" si="17"/>
        <v>20.397959183673468</v>
      </c>
      <c r="I418" s="1">
        <v>0.22923278482371612</v>
      </c>
      <c r="J418" s="1">
        <v>1.7666283897413069</v>
      </c>
      <c r="K418" s="1">
        <v>1419590.7599999998</v>
      </c>
      <c r="L418" s="1">
        <v>803559.34968749993</v>
      </c>
      <c r="M418">
        <v>1377</v>
      </c>
      <c r="N418" s="6">
        <v>1</v>
      </c>
    </row>
    <row r="419" spans="1:14" x14ac:dyDescent="0.25">
      <c r="A419" s="10">
        <v>100</v>
      </c>
      <c r="B419" s="10">
        <v>100</v>
      </c>
      <c r="C419" s="10">
        <v>4.93</v>
      </c>
      <c r="D419" s="10">
        <v>2512</v>
      </c>
      <c r="E419" s="10">
        <v>762</v>
      </c>
      <c r="F419" s="1">
        <v>98.874999999999986</v>
      </c>
      <c r="G419" s="1">
        <f t="shared" si="16"/>
        <v>25.12</v>
      </c>
      <c r="H419" s="1">
        <f t="shared" si="17"/>
        <v>20.28397565922921</v>
      </c>
      <c r="I419" s="1">
        <v>0.23073596681620759</v>
      </c>
      <c r="J419" s="1">
        <v>1.7782129629729477</v>
      </c>
      <c r="K419" s="1">
        <v>1428582.6647999997</v>
      </c>
      <c r="L419" s="1">
        <v>803381.08794999996</v>
      </c>
      <c r="M419">
        <v>1049</v>
      </c>
      <c r="N419" s="6">
        <v>1</v>
      </c>
    </row>
    <row r="420" spans="1:14" x14ac:dyDescent="0.25">
      <c r="A420" s="10">
        <v>99.37</v>
      </c>
      <c r="B420" s="10">
        <v>99.37</v>
      </c>
      <c r="C420" s="10">
        <v>4.91</v>
      </c>
      <c r="D420" s="10">
        <v>2512</v>
      </c>
      <c r="E420" s="10">
        <v>762</v>
      </c>
      <c r="F420" s="1">
        <v>98.874999999999986</v>
      </c>
      <c r="G420" s="1">
        <f t="shared" si="16"/>
        <v>25.279259333802958</v>
      </c>
      <c r="H420" s="1">
        <f t="shared" si="17"/>
        <v>20.23828920570265</v>
      </c>
      <c r="I420" s="1">
        <v>0.23134400209995931</v>
      </c>
      <c r="J420" s="1">
        <v>1.7828989087248446</v>
      </c>
      <c r="K420" s="1">
        <v>1413658.1327999996</v>
      </c>
      <c r="L420" s="1">
        <v>792898.64718750014</v>
      </c>
      <c r="M420">
        <v>1235</v>
      </c>
      <c r="N420" s="6">
        <v>1</v>
      </c>
    </row>
    <row r="421" spans="1:14" x14ac:dyDescent="0.25">
      <c r="A421" s="10">
        <v>124.6</v>
      </c>
      <c r="B421" s="10">
        <v>124.6</v>
      </c>
      <c r="C421" s="10">
        <v>4.93</v>
      </c>
      <c r="D421" s="10">
        <v>2512</v>
      </c>
      <c r="E421" s="10">
        <v>762</v>
      </c>
      <c r="F421" s="1">
        <v>98.874999999999986</v>
      </c>
      <c r="G421" s="1">
        <f t="shared" si="16"/>
        <v>20.160513643659712</v>
      </c>
      <c r="H421" s="1">
        <f t="shared" si="17"/>
        <v>25.273833671399593</v>
      </c>
      <c r="I421" s="1">
        <v>0.17925138111131134</v>
      </c>
      <c r="J421" s="1">
        <v>1.3814366867946322</v>
      </c>
      <c r="K421" s="1">
        <v>1798238.008799999</v>
      </c>
      <c r="L421" s="1">
        <v>1301715.8339499997</v>
      </c>
      <c r="M421">
        <v>2823</v>
      </c>
      <c r="N421" s="6">
        <v>2</v>
      </c>
    </row>
    <row r="422" spans="1:14" x14ac:dyDescent="0.25">
      <c r="A422" s="10">
        <v>125.09</v>
      </c>
      <c r="B422" s="10">
        <v>125.09</v>
      </c>
      <c r="C422" s="10">
        <v>4.8899999999999997</v>
      </c>
      <c r="D422" s="10">
        <v>2512</v>
      </c>
      <c r="E422" s="10">
        <v>762</v>
      </c>
      <c r="F422" s="1">
        <v>98.874999999999986</v>
      </c>
      <c r="G422" s="1">
        <f t="shared" si="16"/>
        <v>20.081541290271005</v>
      </c>
      <c r="H422" s="1">
        <f t="shared" si="17"/>
        <v>25.58077709611452</v>
      </c>
      <c r="I422" s="1">
        <v>0.17682325212919919</v>
      </c>
      <c r="J422" s="1">
        <v>1.3627238242472799</v>
      </c>
      <c r="K422" s="1">
        <v>1791547.3440000007</v>
      </c>
      <c r="L422" s="1">
        <v>1314681.1643874999</v>
      </c>
      <c r="M422">
        <v>2546</v>
      </c>
      <c r="N422" s="6">
        <v>2</v>
      </c>
    </row>
    <row r="423" spans="1:14" x14ac:dyDescent="0.25">
      <c r="A423" s="10">
        <v>124.54</v>
      </c>
      <c r="B423" s="10">
        <v>124.54</v>
      </c>
      <c r="C423" s="10">
        <v>4.92</v>
      </c>
      <c r="D423" s="10">
        <v>2512</v>
      </c>
      <c r="E423" s="10">
        <v>762</v>
      </c>
      <c r="F423" s="1">
        <v>98.874999999999986</v>
      </c>
      <c r="G423" s="1">
        <f t="shared" si="16"/>
        <v>20.170226433274451</v>
      </c>
      <c r="H423" s="1">
        <f t="shared" si="17"/>
        <v>25.313008130081304</v>
      </c>
      <c r="I423" s="1">
        <v>0.17893778470655053</v>
      </c>
      <c r="J423" s="1">
        <v>1.3790198932631252</v>
      </c>
      <c r="K423" s="1">
        <v>1793840.6592000017</v>
      </c>
      <c r="L423" s="1">
        <v>1300808.3987499999</v>
      </c>
      <c r="M423">
        <v>2522</v>
      </c>
      <c r="N423" s="6">
        <v>2</v>
      </c>
    </row>
    <row r="424" spans="1:14" x14ac:dyDescent="0.25">
      <c r="A424" s="10">
        <v>149.72</v>
      </c>
      <c r="B424" s="10">
        <v>149.72</v>
      </c>
      <c r="C424" s="10">
        <v>4.9400000000000004</v>
      </c>
      <c r="D424" s="10">
        <v>2512</v>
      </c>
      <c r="E424" s="10">
        <v>762</v>
      </c>
      <c r="F424" s="1">
        <v>98.874999999999986</v>
      </c>
      <c r="G424" s="1">
        <f t="shared" si="16"/>
        <v>16.777985573069731</v>
      </c>
      <c r="H424" s="1">
        <f t="shared" si="17"/>
        <v>30.307692307692307</v>
      </c>
      <c r="I424" s="1">
        <v>0.14629607750472573</v>
      </c>
      <c r="J424" s="1">
        <v>1.1274600359909079</v>
      </c>
      <c r="K424" s="1">
        <v>2179969.8335999977</v>
      </c>
      <c r="L424" s="1">
        <v>1933522.9312</v>
      </c>
      <c r="M424">
        <v>3938</v>
      </c>
      <c r="N424" s="6">
        <v>2</v>
      </c>
    </row>
    <row r="425" spans="1:14" x14ac:dyDescent="0.25">
      <c r="A425" s="10">
        <v>149.96</v>
      </c>
      <c r="B425" s="10">
        <v>149.96</v>
      </c>
      <c r="C425" s="10">
        <v>4.91</v>
      </c>
      <c r="D425" s="10">
        <v>2512</v>
      </c>
      <c r="E425" s="10">
        <v>762</v>
      </c>
      <c r="F425" s="1">
        <v>98.874999999999986</v>
      </c>
      <c r="G425" s="1">
        <f t="shared" si="16"/>
        <v>16.751133635636169</v>
      </c>
      <c r="H425" s="1">
        <f t="shared" si="17"/>
        <v>30.54175152749491</v>
      </c>
      <c r="I425" s="1">
        <v>0.14505576382474988</v>
      </c>
      <c r="J425" s="1">
        <v>1.1179013100830284</v>
      </c>
      <c r="K425" s="1">
        <v>2170771.8839999996</v>
      </c>
      <c r="L425" s="1">
        <v>1941827.8379500001</v>
      </c>
      <c r="M425">
        <v>3739</v>
      </c>
      <c r="N425" s="6">
        <v>2</v>
      </c>
    </row>
    <row r="426" spans="1:14" x14ac:dyDescent="0.25">
      <c r="A426" s="10">
        <v>150.31</v>
      </c>
      <c r="B426" s="10">
        <v>150.31</v>
      </c>
      <c r="C426" s="10">
        <v>4.92</v>
      </c>
      <c r="D426" s="10">
        <v>2512</v>
      </c>
      <c r="E426" s="10">
        <v>762</v>
      </c>
      <c r="F426" s="1">
        <v>98.874999999999986</v>
      </c>
      <c r="G426" s="1">
        <f t="shared" si="16"/>
        <v>16.712128268245625</v>
      </c>
      <c r="H426" s="1">
        <f t="shared" si="17"/>
        <v>30.550813008130081</v>
      </c>
      <c r="I426" s="1">
        <v>0.14500816799933572</v>
      </c>
      <c r="J426" s="1">
        <v>1.1175345033172575</v>
      </c>
      <c r="K426" s="1">
        <v>2180291.7024000026</v>
      </c>
      <c r="L426" s="1">
        <v>1950983.7914874996</v>
      </c>
      <c r="M426">
        <v>3988</v>
      </c>
      <c r="N426" s="6">
        <v>2</v>
      </c>
    </row>
    <row r="427" spans="1:14" x14ac:dyDescent="0.25">
      <c r="A427" s="10">
        <v>199.62</v>
      </c>
      <c r="B427" s="10">
        <v>199.62</v>
      </c>
      <c r="C427" s="10">
        <v>4.95</v>
      </c>
      <c r="D427" s="10">
        <v>2512</v>
      </c>
      <c r="E427" s="10">
        <v>762</v>
      </c>
      <c r="F427" s="1">
        <v>98.874999999999986</v>
      </c>
      <c r="G427" s="1">
        <f t="shared" si="16"/>
        <v>12.583909427913035</v>
      </c>
      <c r="H427" s="1">
        <f t="shared" si="17"/>
        <v>40.327272727272728</v>
      </c>
      <c r="I427" s="1">
        <v>0.1070873045306758</v>
      </c>
      <c r="J427" s="1">
        <v>0.82528977044121343</v>
      </c>
      <c r="K427" s="1">
        <v>2937103.0920000058</v>
      </c>
      <c r="L427" s="1">
        <v>3558874.951799999</v>
      </c>
      <c r="M427">
        <v>6141</v>
      </c>
      <c r="N427" s="6">
        <v>0</v>
      </c>
    </row>
    <row r="428" spans="1:14" x14ac:dyDescent="0.25">
      <c r="A428" s="10">
        <v>199.5</v>
      </c>
      <c r="B428" s="10">
        <v>199.5</v>
      </c>
      <c r="C428" s="10">
        <v>4.92</v>
      </c>
      <c r="D428" s="10">
        <v>2512</v>
      </c>
      <c r="E428" s="10">
        <v>762</v>
      </c>
      <c r="F428" s="1">
        <v>98.874999999999986</v>
      </c>
      <c r="G428" s="1">
        <f t="shared" si="16"/>
        <v>12.591478696741854</v>
      </c>
      <c r="H428" s="1">
        <f t="shared" si="17"/>
        <v>40.548780487804876</v>
      </c>
      <c r="I428" s="1">
        <v>0.10645640613051283</v>
      </c>
      <c r="J428" s="1">
        <v>0.82042762550139869</v>
      </c>
      <c r="K428" s="1">
        <v>2917952.8128</v>
      </c>
      <c r="L428" s="1">
        <v>3556624.2799499994</v>
      </c>
      <c r="M428">
        <v>6004</v>
      </c>
      <c r="N428" s="6">
        <v>0</v>
      </c>
    </row>
    <row r="429" spans="1:14" x14ac:dyDescent="0.25">
      <c r="A429" s="10">
        <v>199.78</v>
      </c>
      <c r="B429" s="10">
        <v>199.78</v>
      </c>
      <c r="C429" s="10">
        <v>4.92</v>
      </c>
      <c r="D429" s="10">
        <v>2512</v>
      </c>
      <c r="E429" s="10">
        <v>762</v>
      </c>
      <c r="F429" s="1">
        <v>98.874999999999986</v>
      </c>
      <c r="G429" s="1">
        <f t="shared" si="16"/>
        <v>12.573831214335769</v>
      </c>
      <c r="H429" s="1">
        <f t="shared" si="17"/>
        <v>40.605691056910572</v>
      </c>
      <c r="I429" s="1">
        <v>0.10629551121861337</v>
      </c>
      <c r="J429" s="1">
        <v>0.81918765662284099</v>
      </c>
      <c r="K429" s="1">
        <v>2922151.7375999992</v>
      </c>
      <c r="L429" s="1">
        <v>3567133.5059499997</v>
      </c>
      <c r="M429">
        <v>6329</v>
      </c>
      <c r="N429" s="6">
        <v>0</v>
      </c>
    </row>
    <row r="430" spans="1:14" x14ac:dyDescent="0.25">
      <c r="A430" s="10">
        <v>74.41</v>
      </c>
      <c r="B430" s="10">
        <v>74.41</v>
      </c>
      <c r="C430" s="10">
        <v>4.95</v>
      </c>
      <c r="D430" s="10">
        <v>3512</v>
      </c>
      <c r="E430" s="10">
        <v>762</v>
      </c>
      <c r="F430" s="1">
        <v>98.874999999999986</v>
      </c>
      <c r="G430" s="1">
        <f t="shared" si="16"/>
        <v>47.197957263808632</v>
      </c>
      <c r="H430" s="1">
        <f t="shared" si="17"/>
        <v>15.032323232323231</v>
      </c>
      <c r="I430" s="1">
        <v>0.33048053531912386</v>
      </c>
      <c r="J430" s="1">
        <v>2.546914466884171</v>
      </c>
      <c r="K430" s="1">
        <v>1047984.696</v>
      </c>
      <c r="L430" s="1">
        <v>411472.27738749987</v>
      </c>
      <c r="M430">
        <v>469</v>
      </c>
      <c r="N430" s="6">
        <v>1</v>
      </c>
    </row>
    <row r="431" spans="1:14" x14ac:dyDescent="0.25">
      <c r="A431" s="10">
        <v>73.95</v>
      </c>
      <c r="B431" s="10">
        <v>73.95</v>
      </c>
      <c r="C431" s="10">
        <v>4.97</v>
      </c>
      <c r="D431" s="10">
        <v>3512</v>
      </c>
      <c r="E431" s="10">
        <v>762</v>
      </c>
      <c r="F431" s="1">
        <v>98.874999999999986</v>
      </c>
      <c r="G431" s="1">
        <f t="shared" si="16"/>
        <v>47.491548343475323</v>
      </c>
      <c r="H431" s="1">
        <f t="shared" si="17"/>
        <v>14.879275653923543</v>
      </c>
      <c r="I431" s="1">
        <v>0.3346909087323563</v>
      </c>
      <c r="J431" s="1">
        <v>2.5793625532647844</v>
      </c>
      <c r="K431" s="1">
        <v>1044947.6688</v>
      </c>
      <c r="L431" s="1">
        <v>405118.56988750002</v>
      </c>
      <c r="M431">
        <v>286</v>
      </c>
      <c r="N431" s="6">
        <v>1</v>
      </c>
    </row>
    <row r="432" spans="1:14" x14ac:dyDescent="0.25">
      <c r="A432" s="10">
        <v>74.16</v>
      </c>
      <c r="B432" s="10">
        <v>74.16</v>
      </c>
      <c r="C432" s="10">
        <v>4.8899999999999997</v>
      </c>
      <c r="D432" s="10">
        <v>3512</v>
      </c>
      <c r="E432" s="10">
        <v>762</v>
      </c>
      <c r="F432" s="1">
        <v>98.874999999999986</v>
      </c>
      <c r="G432" s="1">
        <f t="shared" si="16"/>
        <v>47.357065803667744</v>
      </c>
      <c r="H432" s="1">
        <f t="shared" si="17"/>
        <v>15.165644171779141</v>
      </c>
      <c r="I432" s="1">
        <v>0.32689787193756081</v>
      </c>
      <c r="J432" s="1">
        <v>2.519303953642694</v>
      </c>
      <c r="K432" s="1">
        <v>1032449.9543999998</v>
      </c>
      <c r="L432" s="1">
        <v>409815.55754999991</v>
      </c>
      <c r="M432">
        <v>410</v>
      </c>
      <c r="N432" s="6">
        <v>1</v>
      </c>
    </row>
    <row r="433" spans="1:14" x14ac:dyDescent="0.25">
      <c r="A433" s="10">
        <v>98.99</v>
      </c>
      <c r="B433" s="10">
        <v>98.99</v>
      </c>
      <c r="C433" s="10">
        <v>4.95</v>
      </c>
      <c r="D433" s="10">
        <v>3512</v>
      </c>
      <c r="E433" s="10">
        <v>762</v>
      </c>
      <c r="F433" s="1">
        <v>98.874999999999986</v>
      </c>
      <c r="G433" s="1">
        <f t="shared" si="16"/>
        <v>35.478331144560059</v>
      </c>
      <c r="H433" s="1">
        <f t="shared" si="17"/>
        <v>19.997979797979795</v>
      </c>
      <c r="I433" s="1">
        <v>0.23459561646253999</v>
      </c>
      <c r="J433" s="1">
        <v>1.8079581263661746</v>
      </c>
      <c r="K433" s="1">
        <v>1418837.9040000015</v>
      </c>
      <c r="L433" s="1">
        <v>784773.65338749962</v>
      </c>
      <c r="M433">
        <v>810</v>
      </c>
      <c r="N433" s="6">
        <v>1</v>
      </c>
    </row>
    <row r="434" spans="1:14" x14ac:dyDescent="0.25">
      <c r="A434" s="10">
        <v>99.4</v>
      </c>
      <c r="B434" s="10">
        <v>99.4</v>
      </c>
      <c r="C434" s="10">
        <v>4.92</v>
      </c>
      <c r="D434" s="10">
        <v>3512</v>
      </c>
      <c r="E434" s="10">
        <v>762</v>
      </c>
      <c r="F434" s="1">
        <v>98.874999999999986</v>
      </c>
      <c r="G434" s="1">
        <f t="shared" si="16"/>
        <v>35.331991951710258</v>
      </c>
      <c r="H434" s="1">
        <f t="shared" si="17"/>
        <v>20.203252032520325</v>
      </c>
      <c r="I434" s="1">
        <v>0.23181247769603006</v>
      </c>
      <c r="J434" s="1">
        <v>1.7865093097787601</v>
      </c>
      <c r="K434" s="1">
        <v>1416837.1967999998</v>
      </c>
      <c r="L434" s="1">
        <v>793075.74219999998</v>
      </c>
      <c r="M434">
        <v>851</v>
      </c>
      <c r="N434" s="6">
        <v>1</v>
      </c>
    </row>
    <row r="435" spans="1:14" x14ac:dyDescent="0.25">
      <c r="A435" s="10">
        <v>99.51</v>
      </c>
      <c r="B435" s="10">
        <v>99.51</v>
      </c>
      <c r="C435" s="10">
        <v>4.92</v>
      </c>
      <c r="D435" s="10">
        <v>3512</v>
      </c>
      <c r="E435" s="10">
        <v>762</v>
      </c>
      <c r="F435" s="1">
        <v>98.874999999999986</v>
      </c>
      <c r="G435" s="1">
        <f t="shared" si="16"/>
        <v>35.292935383378556</v>
      </c>
      <c r="H435" s="1">
        <f t="shared" si="17"/>
        <v>20.225609756097562</v>
      </c>
      <c r="I435" s="1">
        <v>0.2315133184339008</v>
      </c>
      <c r="J435" s="1">
        <v>1.7842037789798475</v>
      </c>
      <c r="K435" s="1">
        <v>1418486.7744000002</v>
      </c>
      <c r="L435" s="1">
        <v>795025.09248749993</v>
      </c>
      <c r="M435">
        <v>761</v>
      </c>
      <c r="N435" s="6">
        <v>1</v>
      </c>
    </row>
    <row r="436" spans="1:14" x14ac:dyDescent="0.25">
      <c r="A436" s="10">
        <v>124.41</v>
      </c>
      <c r="B436" s="10">
        <v>124.41</v>
      </c>
      <c r="C436" s="10">
        <v>4.92</v>
      </c>
      <c r="D436" s="10">
        <v>3512</v>
      </c>
      <c r="E436" s="10">
        <v>762</v>
      </c>
      <c r="F436" s="1">
        <v>98.874999999999986</v>
      </c>
      <c r="G436" s="1">
        <f t="shared" si="16"/>
        <v>28.229242022345471</v>
      </c>
      <c r="H436" s="1">
        <f t="shared" si="17"/>
        <v>25.286585365853657</v>
      </c>
      <c r="I436" s="1">
        <v>0.17914918180695596</v>
      </c>
      <c r="J436" s="1">
        <v>1.3806490673769958</v>
      </c>
      <c r="K436" s="1">
        <v>1791891.1584000003</v>
      </c>
      <c r="L436" s="1">
        <v>1297861.4194874996</v>
      </c>
      <c r="M436">
        <v>1535</v>
      </c>
      <c r="N436" s="6">
        <v>1</v>
      </c>
    </row>
    <row r="437" spans="1:14" x14ac:dyDescent="0.25">
      <c r="A437" s="10">
        <v>124.24</v>
      </c>
      <c r="B437" s="10">
        <v>124.24</v>
      </c>
      <c r="C437" s="10">
        <v>4.92</v>
      </c>
      <c r="D437" s="10">
        <v>3512</v>
      </c>
      <c r="E437" s="10">
        <v>762</v>
      </c>
      <c r="F437" s="1">
        <v>98.874999999999986</v>
      </c>
      <c r="G437" s="1">
        <f t="shared" si="16"/>
        <v>28.267868641339344</v>
      </c>
      <c r="H437" s="1">
        <f t="shared" si="17"/>
        <v>25.252032520325201</v>
      </c>
      <c r="I437" s="1">
        <v>0.17942637781798623</v>
      </c>
      <c r="J437" s="1">
        <v>1.3827853339803338</v>
      </c>
      <c r="K437" s="1">
        <v>1789341.8111999999</v>
      </c>
      <c r="L437" s="1">
        <v>1294012.7199999997</v>
      </c>
      <c r="M437">
        <v>1196</v>
      </c>
      <c r="N437" s="6">
        <v>1</v>
      </c>
    </row>
    <row r="438" spans="1:14" x14ac:dyDescent="0.25">
      <c r="A438" s="10">
        <v>124.4</v>
      </c>
      <c r="B438" s="10">
        <v>124.4</v>
      </c>
      <c r="C438" s="10">
        <v>4.95</v>
      </c>
      <c r="D438" s="10">
        <v>3512</v>
      </c>
      <c r="E438" s="10">
        <v>762</v>
      </c>
      <c r="F438" s="1">
        <v>98.874999999999986</v>
      </c>
      <c r="G438" s="1">
        <f t="shared" si="16"/>
        <v>28.231511254019292</v>
      </c>
      <c r="H438" s="1">
        <f t="shared" si="17"/>
        <v>25.131313131313131</v>
      </c>
      <c r="I438" s="1">
        <v>0.18040159417249865</v>
      </c>
      <c r="J438" s="1">
        <v>1.3903010342295223</v>
      </c>
      <c r="K438" s="1">
        <v>1802213.8200000005</v>
      </c>
      <c r="L438" s="1">
        <v>1296275.9687499998</v>
      </c>
      <c r="M438">
        <v>1539</v>
      </c>
      <c r="N438" s="6">
        <v>1</v>
      </c>
    </row>
    <row r="439" spans="1:14" x14ac:dyDescent="0.25">
      <c r="A439" s="10">
        <v>149.33000000000001</v>
      </c>
      <c r="B439" s="10">
        <v>149.33000000000001</v>
      </c>
      <c r="C439" s="10">
        <v>4.93</v>
      </c>
      <c r="D439" s="10">
        <v>3512</v>
      </c>
      <c r="E439" s="10">
        <v>762</v>
      </c>
      <c r="F439" s="1">
        <v>98.874999999999986</v>
      </c>
      <c r="G439" s="1">
        <f t="shared" si="16"/>
        <v>23.518382106743452</v>
      </c>
      <c r="H439" s="1">
        <f t="shared" si="17"/>
        <v>30.290060851926981</v>
      </c>
      <c r="I439" s="1">
        <v>0.14639036783327183</v>
      </c>
      <c r="J439" s="1">
        <v>1.1281867033016755</v>
      </c>
      <c r="K439" s="1">
        <v>2169846.8159999968</v>
      </c>
      <c r="L439" s="1">
        <v>1923304.7239875004</v>
      </c>
      <c r="M439">
        <v>4142</v>
      </c>
      <c r="N439" s="6">
        <v>2</v>
      </c>
    </row>
    <row r="440" spans="1:14" x14ac:dyDescent="0.25">
      <c r="A440" s="10">
        <v>148.88</v>
      </c>
      <c r="B440" s="10">
        <v>148.88</v>
      </c>
      <c r="C440" s="10">
        <v>4.93</v>
      </c>
      <c r="D440" s="10">
        <v>3512</v>
      </c>
      <c r="E440" s="10">
        <v>762</v>
      </c>
      <c r="F440" s="1">
        <v>98.874999999999986</v>
      </c>
      <c r="G440" s="1">
        <f t="shared" si="16"/>
        <v>23.589468027941969</v>
      </c>
      <c r="H440" s="1">
        <f t="shared" si="17"/>
        <v>30.198782961460449</v>
      </c>
      <c r="I440" s="1">
        <v>0.1468804557690464</v>
      </c>
      <c r="J440" s="1">
        <v>1.1319636641821833</v>
      </c>
      <c r="K440" s="1">
        <v>2163084.8280000025</v>
      </c>
      <c r="L440" s="1">
        <v>1910913.6595499993</v>
      </c>
      <c r="M440">
        <v>2303</v>
      </c>
      <c r="N440" s="6">
        <v>2</v>
      </c>
    </row>
    <row r="441" spans="1:14" x14ac:dyDescent="0.25">
      <c r="A441" s="10">
        <v>149.91999999999999</v>
      </c>
      <c r="B441" s="10">
        <v>149.91999999999999</v>
      </c>
      <c r="C441" s="10">
        <v>4.93</v>
      </c>
      <c r="D441" s="10">
        <v>3512</v>
      </c>
      <c r="E441" s="10">
        <v>762</v>
      </c>
      <c r="F441" s="1">
        <v>98.874999999999986</v>
      </c>
      <c r="G441" s="1">
        <f t="shared" si="16"/>
        <v>23.425827107790823</v>
      </c>
      <c r="H441" s="1">
        <f t="shared" si="17"/>
        <v>30.409736308316429</v>
      </c>
      <c r="I441" s="1">
        <v>0.14575273618990586</v>
      </c>
      <c r="J441" s="1">
        <v>1.1232726672739144</v>
      </c>
      <c r="K441" s="1">
        <v>2178712.5335999965</v>
      </c>
      <c r="L441" s="1">
        <v>1939611.4559499996</v>
      </c>
      <c r="M441">
        <v>2556</v>
      </c>
      <c r="N441" s="6">
        <v>2</v>
      </c>
    </row>
    <row r="442" spans="1:14" x14ac:dyDescent="0.25">
      <c r="A442" s="10">
        <v>199.84</v>
      </c>
      <c r="B442" s="10">
        <v>199.84</v>
      </c>
      <c r="C442" s="10">
        <v>4.93</v>
      </c>
      <c r="D442" s="10">
        <v>3512</v>
      </c>
      <c r="E442" s="10">
        <v>762</v>
      </c>
      <c r="F442" s="1">
        <v>98.874999999999986</v>
      </c>
      <c r="G442" s="1">
        <f t="shared" si="16"/>
        <v>17.574059247397919</v>
      </c>
      <c r="H442" s="1">
        <f t="shared" si="17"/>
        <v>40.535496957403652</v>
      </c>
      <c r="I442" s="1">
        <v>0.10649403080433505</v>
      </c>
      <c r="J442" s="1">
        <v>0.82071758758941404</v>
      </c>
      <c r="K442" s="1">
        <v>2928842.4023999963</v>
      </c>
      <c r="L442" s="1">
        <v>3568636.0895500001</v>
      </c>
      <c r="M442">
        <v>5002</v>
      </c>
      <c r="N442" s="6">
        <v>2</v>
      </c>
    </row>
    <row r="443" spans="1:14" x14ac:dyDescent="0.25">
      <c r="A443" s="10">
        <v>199.59</v>
      </c>
      <c r="B443" s="10">
        <v>199.59</v>
      </c>
      <c r="C443" s="10">
        <v>4.92</v>
      </c>
      <c r="D443" s="10">
        <v>3512</v>
      </c>
      <c r="E443" s="10">
        <v>762</v>
      </c>
      <c r="F443" s="1">
        <v>98.874999999999986</v>
      </c>
      <c r="G443" s="1">
        <f t="shared" si="16"/>
        <v>17.596071947492359</v>
      </c>
      <c r="H443" s="1">
        <f t="shared" si="17"/>
        <v>40.56707317073171</v>
      </c>
      <c r="I443" s="1">
        <v>0.10640463684794332</v>
      </c>
      <c r="J443" s="1">
        <v>0.82002865515178591</v>
      </c>
      <c r="K443" s="1">
        <v>2919302.4672000022</v>
      </c>
      <c r="L443" s="1">
        <v>3560000.5546874995</v>
      </c>
      <c r="M443">
        <v>5896</v>
      </c>
      <c r="N443" s="6">
        <v>2</v>
      </c>
    </row>
    <row r="444" spans="1:14" x14ac:dyDescent="0.25">
      <c r="A444" s="10">
        <v>200.67</v>
      </c>
      <c r="B444" s="10">
        <v>200.67</v>
      </c>
      <c r="C444" s="10">
        <v>4.93</v>
      </c>
      <c r="D444" s="10">
        <v>3512</v>
      </c>
      <c r="E444" s="10">
        <v>762</v>
      </c>
      <c r="F444" s="1">
        <v>98.874999999999986</v>
      </c>
      <c r="G444" s="1">
        <f t="shared" si="16"/>
        <v>17.501370409129418</v>
      </c>
      <c r="H444" s="1">
        <f t="shared" si="17"/>
        <v>40.703853955375251</v>
      </c>
      <c r="I444" s="1">
        <v>0.10601912889132348</v>
      </c>
      <c r="J444" s="1">
        <v>0.81705766083629339</v>
      </c>
      <c r="K444" s="1">
        <v>2941314.5135999946</v>
      </c>
      <c r="L444" s="1">
        <v>3599886.0968874996</v>
      </c>
      <c r="M444">
        <v>5052</v>
      </c>
      <c r="N444" s="6">
        <v>2</v>
      </c>
    </row>
    <row r="445" spans="1:14" x14ac:dyDescent="0.25">
      <c r="A445" s="10">
        <v>74.040000000000006</v>
      </c>
      <c r="B445" s="10">
        <v>74.040000000000006</v>
      </c>
      <c r="C445" s="10">
        <v>4.91</v>
      </c>
      <c r="D445" s="10">
        <v>285</v>
      </c>
      <c r="E445" s="10">
        <v>762</v>
      </c>
      <c r="F445" s="1">
        <v>87.5</v>
      </c>
      <c r="G445" s="1">
        <f t="shared" si="16"/>
        <v>3.8492706645056725</v>
      </c>
      <c r="H445" s="1">
        <f t="shared" si="17"/>
        <v>15.079429735234216</v>
      </c>
      <c r="I445" s="1">
        <v>0.32920576952415914</v>
      </c>
      <c r="J445" s="1">
        <v>2.8669119585989629</v>
      </c>
      <c r="K445" s="1">
        <v>1034577.4584000008</v>
      </c>
      <c r="L445" s="1">
        <v>360868.23499999999</v>
      </c>
      <c r="M445">
        <v>1636</v>
      </c>
      <c r="N445" s="6">
        <v>0</v>
      </c>
    </row>
    <row r="446" spans="1:14" x14ac:dyDescent="0.25">
      <c r="A446" s="10">
        <v>72.87</v>
      </c>
      <c r="B446" s="10">
        <v>72.87</v>
      </c>
      <c r="C446" s="10">
        <v>4.88</v>
      </c>
      <c r="D446" s="10">
        <v>285</v>
      </c>
      <c r="E446" s="10">
        <v>762</v>
      </c>
      <c r="F446" s="1">
        <v>87.5</v>
      </c>
      <c r="G446" s="1">
        <f t="shared" si="16"/>
        <v>3.9110745162618361</v>
      </c>
      <c r="H446" s="1">
        <f t="shared" si="17"/>
        <v>14.93237704918033</v>
      </c>
      <c r="I446" s="1">
        <v>0.3332180312794879</v>
      </c>
      <c r="J446" s="1">
        <v>2.901853026685369</v>
      </c>
      <c r="K446" s="1">
        <v>1011299.5776</v>
      </c>
      <c r="L446" s="1">
        <v>348501.30875000008</v>
      </c>
      <c r="M446">
        <v>1755</v>
      </c>
      <c r="N446" s="6">
        <v>0</v>
      </c>
    </row>
    <row r="447" spans="1:14" x14ac:dyDescent="0.25">
      <c r="A447" s="10">
        <v>99.56</v>
      </c>
      <c r="B447" s="10">
        <v>99.56</v>
      </c>
      <c r="C447" s="10">
        <v>4.91</v>
      </c>
      <c r="D447" s="10">
        <v>360</v>
      </c>
      <c r="E447" s="10">
        <v>762</v>
      </c>
      <c r="F447" s="1">
        <v>87.5</v>
      </c>
      <c r="G447" s="1">
        <f t="shared" si="16"/>
        <v>3.6159100040176777</v>
      </c>
      <c r="H447" s="1">
        <f t="shared" si="17"/>
        <v>20.276985743380855</v>
      </c>
      <c r="I447" s="1">
        <v>0.23082878805616719</v>
      </c>
      <c r="J447" s="1">
        <v>2.0101889885577071</v>
      </c>
      <c r="K447" s="1">
        <v>1416501.6119999988</v>
      </c>
      <c r="L447" s="1">
        <v>704660.91500000015</v>
      </c>
      <c r="M447">
        <v>2520</v>
      </c>
      <c r="N447" s="6">
        <v>0</v>
      </c>
    </row>
    <row r="448" spans="1:14" x14ac:dyDescent="0.25">
      <c r="A448" s="10">
        <v>99.2</v>
      </c>
      <c r="B448" s="10">
        <v>99.2</v>
      </c>
      <c r="C448" s="10">
        <v>4.93</v>
      </c>
      <c r="D448" s="10">
        <v>360</v>
      </c>
      <c r="E448" s="10">
        <v>762</v>
      </c>
      <c r="F448" s="1">
        <v>87.5</v>
      </c>
      <c r="G448" s="1">
        <f t="shared" si="16"/>
        <v>3.629032258064516</v>
      </c>
      <c r="H448" s="1">
        <f t="shared" si="17"/>
        <v>20.121703853955378</v>
      </c>
      <c r="I448" s="1">
        <v>0.232910207025738</v>
      </c>
      <c r="J448" s="1">
        <v>2.0283151743269983</v>
      </c>
      <c r="K448" s="1">
        <v>1416561.3528000005</v>
      </c>
      <c r="L448" s="1">
        <v>698393.11499999999</v>
      </c>
      <c r="M448">
        <v>2632</v>
      </c>
      <c r="N448" s="6">
        <v>0</v>
      </c>
    </row>
    <row r="449" spans="1:14" x14ac:dyDescent="0.25">
      <c r="A449" s="10">
        <v>124.43</v>
      </c>
      <c r="B449" s="10">
        <v>124.43</v>
      </c>
      <c r="C449" s="10">
        <v>4.93</v>
      </c>
      <c r="D449" s="10">
        <v>435</v>
      </c>
      <c r="E449" s="10">
        <v>762</v>
      </c>
      <c r="F449" s="1">
        <v>87.5</v>
      </c>
      <c r="G449" s="1">
        <f t="shared" si="16"/>
        <v>3.4959414932090329</v>
      </c>
      <c r="H449" s="1">
        <f t="shared" si="17"/>
        <v>25.239350912778907</v>
      </c>
      <c r="I449" s="1">
        <v>0.17952832945138944</v>
      </c>
      <c r="J449" s="1">
        <v>1.5634352804795286</v>
      </c>
      <c r="K449" s="1">
        <v>1795683.4799999993</v>
      </c>
      <c r="L449" s="1">
        <v>1148549.9287500002</v>
      </c>
      <c r="M449">
        <v>3023</v>
      </c>
      <c r="N449" s="6">
        <v>0</v>
      </c>
    </row>
    <row r="450" spans="1:14" x14ac:dyDescent="0.25">
      <c r="A450" s="10">
        <v>124.94</v>
      </c>
      <c r="B450" s="10">
        <v>124.94</v>
      </c>
      <c r="C450" s="10">
        <v>4.9400000000000004</v>
      </c>
      <c r="D450" s="10">
        <v>435</v>
      </c>
      <c r="E450" s="10">
        <v>762</v>
      </c>
      <c r="F450" s="1">
        <v>87.5</v>
      </c>
      <c r="G450" s="1">
        <f t="shared" ref="G450:G513" si="18">D450/A450</f>
        <v>3.4816712021770448</v>
      </c>
      <c r="H450" s="1">
        <f t="shared" ref="H450:H513" si="19">A450/C450</f>
        <v>25.291497975708499</v>
      </c>
      <c r="I450" s="1">
        <v>0.17910984040884168</v>
      </c>
      <c r="J450" s="1">
        <v>1.5597908387604269</v>
      </c>
      <c r="K450" s="1">
        <v>1806854.3999999992</v>
      </c>
      <c r="L450" s="1">
        <v>1158395.3150000002</v>
      </c>
      <c r="M450">
        <v>2962</v>
      </c>
      <c r="N450" s="6">
        <v>0</v>
      </c>
    </row>
    <row r="451" spans="1:14" x14ac:dyDescent="0.25">
      <c r="A451" s="10">
        <v>149.99</v>
      </c>
      <c r="B451" s="10">
        <v>149.99</v>
      </c>
      <c r="C451" s="10">
        <v>4.92</v>
      </c>
      <c r="D451" s="10">
        <v>510</v>
      </c>
      <c r="E451" s="10">
        <v>762</v>
      </c>
      <c r="F451" s="1">
        <v>87.5</v>
      </c>
      <c r="G451" s="1">
        <f t="shared" si="18"/>
        <v>3.400226681778785</v>
      </c>
      <c r="H451" s="1">
        <f t="shared" si="19"/>
        <v>30.48577235772358</v>
      </c>
      <c r="I451" s="1">
        <v>0.14535049025628588</v>
      </c>
      <c r="J451" s="1">
        <v>1.2657951265747409</v>
      </c>
      <c r="K451" s="1">
        <v>2175492.9311999986</v>
      </c>
      <c r="L451" s="1">
        <v>1718676.9687500002</v>
      </c>
      <c r="M451">
        <v>4115</v>
      </c>
      <c r="N451" s="6">
        <v>0</v>
      </c>
    </row>
    <row r="452" spans="1:14" x14ac:dyDescent="0.25">
      <c r="A452" s="10">
        <v>149.87</v>
      </c>
      <c r="B452" s="10">
        <v>149.87</v>
      </c>
      <c r="C452" s="10">
        <v>4.92</v>
      </c>
      <c r="D452" s="10">
        <v>510</v>
      </c>
      <c r="E452" s="10">
        <v>762</v>
      </c>
      <c r="F452" s="1">
        <v>87.5</v>
      </c>
      <c r="G452" s="1">
        <f t="shared" si="18"/>
        <v>3.4029492226596383</v>
      </c>
      <c r="H452" s="1">
        <f t="shared" si="19"/>
        <v>30.461382113821138</v>
      </c>
      <c r="I452" s="1">
        <v>0.14547927771101424</v>
      </c>
      <c r="J452" s="1">
        <v>1.266916681323347</v>
      </c>
      <c r="K452" s="1">
        <v>2173693.3920000014</v>
      </c>
      <c r="L452" s="1">
        <v>1715735.0787500001</v>
      </c>
      <c r="M452">
        <v>3968</v>
      </c>
      <c r="N452" s="6">
        <v>0</v>
      </c>
    </row>
    <row r="453" spans="1:14" x14ac:dyDescent="0.25">
      <c r="A453" s="10">
        <v>149.77000000000001</v>
      </c>
      <c r="B453" s="10">
        <v>149.77000000000001</v>
      </c>
      <c r="C453" s="10">
        <v>4.93</v>
      </c>
      <c r="D453" s="10">
        <v>1514</v>
      </c>
      <c r="E453" s="10">
        <v>762</v>
      </c>
      <c r="F453" s="1">
        <v>98.874999999999986</v>
      </c>
      <c r="G453" s="1">
        <f t="shared" si="18"/>
        <v>10.108833544768645</v>
      </c>
      <c r="H453" s="1">
        <f t="shared" si="19"/>
        <v>30.379310344827591</v>
      </c>
      <c r="I453" s="1">
        <v>0.14591431933373569</v>
      </c>
      <c r="J453" s="1">
        <v>1.1245179401497509</v>
      </c>
      <c r="K453" s="1">
        <v>2176458.5375999976</v>
      </c>
      <c r="L453" s="1">
        <v>1935459.1508875003</v>
      </c>
      <c r="M453">
        <v>5164</v>
      </c>
      <c r="N453" s="6">
        <v>0</v>
      </c>
    </row>
    <row r="454" spans="1:14" x14ac:dyDescent="0.25">
      <c r="A454" s="10">
        <v>149.37</v>
      </c>
      <c r="B454" s="10">
        <v>149.37</v>
      </c>
      <c r="C454" s="10">
        <v>4.9400000000000004</v>
      </c>
      <c r="D454" s="10">
        <v>1514</v>
      </c>
      <c r="E454" s="10">
        <v>762</v>
      </c>
      <c r="F454" s="1">
        <v>98.874999999999986</v>
      </c>
      <c r="G454" s="1">
        <f t="shared" si="18"/>
        <v>10.135904130682198</v>
      </c>
      <c r="H454" s="1">
        <f t="shared" si="19"/>
        <v>30.236842105263158</v>
      </c>
      <c r="I454" s="1">
        <v>0.1466757112866954</v>
      </c>
      <c r="J454" s="1">
        <v>1.1303857598023959</v>
      </c>
      <c r="K454" s="1">
        <v>2174699.8415999967</v>
      </c>
      <c r="L454" s="1">
        <v>1923856.3673875001</v>
      </c>
      <c r="M454">
        <v>4833</v>
      </c>
      <c r="N454" s="6">
        <v>0</v>
      </c>
    </row>
    <row r="455" spans="1:14" x14ac:dyDescent="0.25">
      <c r="A455" s="10">
        <v>149.58000000000001</v>
      </c>
      <c r="B455" s="10">
        <v>149.58000000000001</v>
      </c>
      <c r="C455" s="10">
        <v>4.95</v>
      </c>
      <c r="D455" s="10">
        <v>1514</v>
      </c>
      <c r="E455" s="10">
        <v>762</v>
      </c>
      <c r="F455" s="1">
        <v>98.874999999999986</v>
      </c>
      <c r="G455" s="1">
        <f t="shared" si="18"/>
        <v>10.121674020590987</v>
      </c>
      <c r="H455" s="1">
        <f t="shared" si="19"/>
        <v>30.218181818181819</v>
      </c>
      <c r="I455" s="1">
        <v>0.14677602561377417</v>
      </c>
      <c r="J455" s="1">
        <v>1.1311588522649398</v>
      </c>
      <c r="K455" s="1">
        <v>2182119.5880000019</v>
      </c>
      <c r="L455" s="1">
        <v>1929100.9247999999</v>
      </c>
      <c r="M455">
        <v>5085</v>
      </c>
      <c r="N455" s="6">
        <v>0</v>
      </c>
    </row>
    <row r="456" spans="1:14" x14ac:dyDescent="0.25">
      <c r="A456" s="10">
        <v>199.01</v>
      </c>
      <c r="B456" s="10">
        <v>199.01</v>
      </c>
      <c r="C456" s="10">
        <v>4.92</v>
      </c>
      <c r="D456" s="10">
        <v>660</v>
      </c>
      <c r="E456" s="10">
        <v>762</v>
      </c>
      <c r="F456" s="1">
        <v>98.874999999999986</v>
      </c>
      <c r="G456" s="1">
        <f t="shared" si="18"/>
        <v>3.3164162604894227</v>
      </c>
      <c r="H456" s="1">
        <f t="shared" si="19"/>
        <v>40.449186991869915</v>
      </c>
      <c r="I456" s="1">
        <v>0.1067391466553174</v>
      </c>
      <c r="J456" s="1">
        <v>0.8226066220111441</v>
      </c>
      <c r="K456" s="1">
        <v>2910604.6944000009</v>
      </c>
      <c r="L456" s="1">
        <v>3538270.4399874988</v>
      </c>
      <c r="M456">
        <v>5184</v>
      </c>
      <c r="N456" s="6">
        <v>0</v>
      </c>
    </row>
    <row r="457" spans="1:14" x14ac:dyDescent="0.25">
      <c r="A457" s="10">
        <v>198.71</v>
      </c>
      <c r="B457" s="10">
        <v>198.71</v>
      </c>
      <c r="C457" s="10">
        <v>4.92</v>
      </c>
      <c r="D457" s="10">
        <v>660</v>
      </c>
      <c r="E457" s="10">
        <v>762</v>
      </c>
      <c r="F457" s="1">
        <v>98.874999999999986</v>
      </c>
      <c r="G457" s="1">
        <f t="shared" si="18"/>
        <v>3.3214231795078253</v>
      </c>
      <c r="H457" s="1">
        <f t="shared" si="19"/>
        <v>40.388211382113823</v>
      </c>
      <c r="I457" s="1">
        <v>0.10691299509390263</v>
      </c>
      <c r="J457" s="1">
        <v>0.82394641983872385</v>
      </c>
      <c r="K457" s="1">
        <v>2906105.8463999992</v>
      </c>
      <c r="L457" s="1">
        <v>3527056.8284874996</v>
      </c>
      <c r="M457">
        <v>5604</v>
      </c>
      <c r="N457" s="6">
        <v>0</v>
      </c>
    </row>
    <row r="458" spans="1:14" x14ac:dyDescent="0.25">
      <c r="A458" s="10">
        <v>198.92</v>
      </c>
      <c r="B458" s="10">
        <v>198.92</v>
      </c>
      <c r="C458" s="10">
        <v>4.91</v>
      </c>
      <c r="D458" s="10">
        <v>1514</v>
      </c>
      <c r="E458" s="10">
        <v>762</v>
      </c>
      <c r="F458" s="1">
        <v>98.874999999999986</v>
      </c>
      <c r="G458" s="1">
        <f t="shared" si="18"/>
        <v>7.6110999396742418</v>
      </c>
      <c r="H458" s="1">
        <f t="shared" si="19"/>
        <v>40.513238289205702</v>
      </c>
      <c r="I458" s="1">
        <v>0.106557136549007</v>
      </c>
      <c r="J458" s="1">
        <v>0.82120392465581138</v>
      </c>
      <c r="K458" s="1">
        <v>2903491.5767999976</v>
      </c>
      <c r="L458" s="1">
        <v>3535652.3387499992</v>
      </c>
      <c r="M458">
        <v>7478</v>
      </c>
      <c r="N458" s="6">
        <v>0</v>
      </c>
    </row>
    <row r="459" spans="1:14" x14ac:dyDescent="0.25">
      <c r="A459" s="10">
        <v>198.99</v>
      </c>
      <c r="B459" s="10">
        <v>198.99</v>
      </c>
      <c r="C459" s="10">
        <v>4.92</v>
      </c>
      <c r="D459" s="10">
        <v>1514</v>
      </c>
      <c r="E459" s="10">
        <v>762</v>
      </c>
      <c r="F459" s="1">
        <v>98.874999999999986</v>
      </c>
      <c r="G459" s="1">
        <f t="shared" si="18"/>
        <v>7.6084225337956681</v>
      </c>
      <c r="H459" s="1">
        <f t="shared" si="19"/>
        <v>40.445121951219512</v>
      </c>
      <c r="I459" s="1">
        <v>0.10675071897044307</v>
      </c>
      <c r="J459" s="1">
        <v>0.82269580637651196</v>
      </c>
      <c r="K459" s="1">
        <v>2910304.7711999984</v>
      </c>
      <c r="L459" s="1">
        <v>3537522.3121874998</v>
      </c>
      <c r="M459">
        <v>7506</v>
      </c>
      <c r="N459" s="6">
        <v>0</v>
      </c>
    </row>
    <row r="460" spans="1:14" x14ac:dyDescent="0.25">
      <c r="A460" s="10">
        <v>198.96</v>
      </c>
      <c r="B460" s="10">
        <v>198.96</v>
      </c>
      <c r="C460" s="10">
        <v>4.9400000000000004</v>
      </c>
      <c r="D460" s="10">
        <v>1514</v>
      </c>
      <c r="E460" s="10">
        <v>762</v>
      </c>
      <c r="F460" s="1">
        <v>98.874999999999986</v>
      </c>
      <c r="G460" s="1">
        <f t="shared" si="18"/>
        <v>7.6095697627663847</v>
      </c>
      <c r="H460" s="1">
        <f t="shared" si="19"/>
        <v>40.275303643724698</v>
      </c>
      <c r="I460" s="1">
        <v>0.10723640672846586</v>
      </c>
      <c r="J460" s="1">
        <v>0.82643885640547154</v>
      </c>
      <c r="K460" s="1">
        <v>2921382.422400001</v>
      </c>
      <c r="L460" s="1">
        <v>3534904.4877999998</v>
      </c>
      <c r="M460">
        <v>6460</v>
      </c>
      <c r="N460" s="6">
        <v>0</v>
      </c>
    </row>
    <row r="461" spans="1:14" x14ac:dyDescent="0.25">
      <c r="A461" s="8">
        <v>150</v>
      </c>
      <c r="B461" s="8">
        <v>150</v>
      </c>
      <c r="C461" s="8">
        <v>8</v>
      </c>
      <c r="D461" s="8">
        <v>450</v>
      </c>
      <c r="E461" s="8">
        <v>779</v>
      </c>
      <c r="F461" s="1">
        <v>159.40490430622009</v>
      </c>
      <c r="G461" s="1">
        <f t="shared" si="18"/>
        <v>3</v>
      </c>
      <c r="H461" s="1">
        <f t="shared" si="19"/>
        <v>18.75</v>
      </c>
      <c r="I461" s="1">
        <v>0.2530630429939853</v>
      </c>
      <c r="J461" s="1">
        <v>1.2367004098795606</v>
      </c>
      <c r="K461" s="1">
        <v>3539776</v>
      </c>
      <c r="L461" s="1">
        <v>2862274.461722488</v>
      </c>
      <c r="M461">
        <v>6536</v>
      </c>
      <c r="N461" s="6">
        <v>0</v>
      </c>
    </row>
    <row r="462" spans="1:14" x14ac:dyDescent="0.25">
      <c r="A462" s="8">
        <v>150</v>
      </c>
      <c r="B462" s="8">
        <v>150</v>
      </c>
      <c r="C462" s="8">
        <v>8</v>
      </c>
      <c r="D462" s="8">
        <v>450</v>
      </c>
      <c r="E462" s="8">
        <v>779</v>
      </c>
      <c r="F462" s="1">
        <v>164.53349282296648</v>
      </c>
      <c r="G462" s="1">
        <f t="shared" si="18"/>
        <v>3</v>
      </c>
      <c r="H462" s="1">
        <f t="shared" si="19"/>
        <v>18.75</v>
      </c>
      <c r="I462" s="1">
        <v>0.2530630429939853</v>
      </c>
      <c r="J462" s="1">
        <v>1.1981518602077426</v>
      </c>
      <c r="K462" s="1">
        <v>3539776</v>
      </c>
      <c r="L462" s="1">
        <v>2954363.397129186</v>
      </c>
      <c r="M462">
        <v>6715</v>
      </c>
      <c r="N462" s="6">
        <v>0</v>
      </c>
    </row>
    <row r="463" spans="1:14" x14ac:dyDescent="0.25">
      <c r="A463" s="8">
        <v>150</v>
      </c>
      <c r="B463" s="8">
        <v>150</v>
      </c>
      <c r="C463" s="8">
        <v>8</v>
      </c>
      <c r="D463" s="8">
        <v>450</v>
      </c>
      <c r="E463" s="8">
        <v>779</v>
      </c>
      <c r="F463" s="1">
        <v>153.85765550239233</v>
      </c>
      <c r="G463" s="1">
        <f t="shared" si="18"/>
        <v>3</v>
      </c>
      <c r="H463" s="1">
        <f t="shared" si="19"/>
        <v>18.75</v>
      </c>
      <c r="I463" s="1">
        <v>0.2530630429939853</v>
      </c>
      <c r="J463" s="1">
        <v>1.2812889280588919</v>
      </c>
      <c r="K463" s="1">
        <v>3539776</v>
      </c>
      <c r="L463" s="1">
        <v>2762668.0622009565</v>
      </c>
      <c r="M463">
        <v>6616</v>
      </c>
      <c r="N463" s="6">
        <v>0</v>
      </c>
    </row>
    <row r="464" spans="1:14" x14ac:dyDescent="0.25">
      <c r="A464" s="8">
        <v>150</v>
      </c>
      <c r="B464" s="8">
        <v>150</v>
      </c>
      <c r="C464" s="8">
        <v>8</v>
      </c>
      <c r="D464" s="8">
        <v>450</v>
      </c>
      <c r="E464" s="8">
        <v>779</v>
      </c>
      <c r="F464" s="1">
        <v>171.75538277511961</v>
      </c>
      <c r="G464" s="1">
        <f t="shared" si="18"/>
        <v>3</v>
      </c>
      <c r="H464" s="1">
        <f t="shared" si="19"/>
        <v>18.75</v>
      </c>
      <c r="I464" s="1">
        <v>0.2530630429939853</v>
      </c>
      <c r="J464" s="1">
        <v>1.1477725315335594</v>
      </c>
      <c r="K464" s="1">
        <v>3539776</v>
      </c>
      <c r="L464" s="1">
        <v>3084039.6531100478</v>
      </c>
      <c r="M464">
        <v>7276</v>
      </c>
      <c r="N464" s="6">
        <v>0</v>
      </c>
    </row>
    <row r="465" spans="1:14" x14ac:dyDescent="0.25">
      <c r="A465" s="8">
        <v>150</v>
      </c>
      <c r="B465" s="8">
        <v>150</v>
      </c>
      <c r="C465" s="8">
        <v>8</v>
      </c>
      <c r="D465" s="8">
        <v>450</v>
      </c>
      <c r="E465" s="8">
        <v>779</v>
      </c>
      <c r="F465" s="1">
        <v>154.90430622009569</v>
      </c>
      <c r="G465" s="1">
        <f t="shared" si="18"/>
        <v>3</v>
      </c>
      <c r="H465" s="1">
        <f t="shared" si="19"/>
        <v>18.75</v>
      </c>
      <c r="I465" s="1">
        <v>0.2530630429939853</v>
      </c>
      <c r="J465" s="1">
        <v>1.2726315704368723</v>
      </c>
      <c r="K465" s="1">
        <v>3539776</v>
      </c>
      <c r="L465" s="1">
        <v>2781461.7224880382</v>
      </c>
      <c r="M465">
        <v>6974</v>
      </c>
      <c r="N465" s="6">
        <v>0</v>
      </c>
    </row>
    <row r="466" spans="1:14" x14ac:dyDescent="0.25">
      <c r="A466" s="8">
        <v>150</v>
      </c>
      <c r="B466" s="8">
        <v>150</v>
      </c>
      <c r="C466" s="8">
        <v>12</v>
      </c>
      <c r="D466" s="8">
        <v>450</v>
      </c>
      <c r="E466" s="8">
        <v>756</v>
      </c>
      <c r="F466" s="1">
        <v>159.40490430622009</v>
      </c>
      <c r="G466" s="1">
        <f t="shared" si="18"/>
        <v>3</v>
      </c>
      <c r="H466" s="1">
        <f t="shared" si="19"/>
        <v>12.5</v>
      </c>
      <c r="I466" s="1">
        <v>0.41723356009070295</v>
      </c>
      <c r="J466" s="1">
        <v>1.9787883741809265</v>
      </c>
      <c r="K466" s="1">
        <v>5007744</v>
      </c>
      <c r="L466" s="1">
        <v>2530712.2607655502</v>
      </c>
      <c r="M466">
        <v>8585</v>
      </c>
      <c r="N466" s="6">
        <v>0</v>
      </c>
    </row>
    <row r="467" spans="1:14" x14ac:dyDescent="0.25">
      <c r="A467" s="8">
        <v>150</v>
      </c>
      <c r="B467" s="8">
        <v>150</v>
      </c>
      <c r="C467" s="8">
        <v>12</v>
      </c>
      <c r="D467" s="8">
        <v>450</v>
      </c>
      <c r="E467" s="8">
        <v>756</v>
      </c>
      <c r="F467" s="1">
        <v>164.53349282296648</v>
      </c>
      <c r="G467" s="1">
        <f t="shared" si="18"/>
        <v>3</v>
      </c>
      <c r="H467" s="1">
        <f t="shared" si="19"/>
        <v>12.5</v>
      </c>
      <c r="I467" s="1">
        <v>0.41723356009070295</v>
      </c>
      <c r="J467" s="1">
        <v>1.9171085838915722</v>
      </c>
      <c r="K467" s="1">
        <v>5007744</v>
      </c>
      <c r="L467" s="1">
        <v>2612133.7320574159</v>
      </c>
      <c r="M467">
        <v>8452</v>
      </c>
      <c r="N467" s="6">
        <v>0</v>
      </c>
    </row>
    <row r="468" spans="1:14" x14ac:dyDescent="0.25">
      <c r="A468" s="8">
        <v>150</v>
      </c>
      <c r="B468" s="8">
        <v>150</v>
      </c>
      <c r="C468" s="8">
        <v>12</v>
      </c>
      <c r="D468" s="8">
        <v>450</v>
      </c>
      <c r="E468" s="8">
        <v>756</v>
      </c>
      <c r="F468" s="1">
        <v>153.85765550239233</v>
      </c>
      <c r="G468" s="1">
        <f t="shared" si="18"/>
        <v>3</v>
      </c>
      <c r="H468" s="1">
        <f t="shared" si="19"/>
        <v>12.5</v>
      </c>
      <c r="I468" s="1">
        <v>0.41723356009070295</v>
      </c>
      <c r="J468" s="1">
        <v>2.0501324448146607</v>
      </c>
      <c r="K468" s="1">
        <v>5007744</v>
      </c>
      <c r="L468" s="1">
        <v>2442644.1387559809</v>
      </c>
      <c r="M468">
        <v>8687</v>
      </c>
      <c r="N468" s="6">
        <v>0</v>
      </c>
    </row>
    <row r="469" spans="1:14" x14ac:dyDescent="0.25">
      <c r="A469" s="8">
        <v>150</v>
      </c>
      <c r="B469" s="8">
        <v>150</v>
      </c>
      <c r="C469" s="8">
        <v>12</v>
      </c>
      <c r="D469" s="8">
        <v>450</v>
      </c>
      <c r="E469" s="8">
        <v>756</v>
      </c>
      <c r="F469" s="1">
        <v>171.75538277511961</v>
      </c>
      <c r="G469" s="1">
        <f t="shared" si="18"/>
        <v>3</v>
      </c>
      <c r="H469" s="1">
        <f t="shared" si="19"/>
        <v>12.5</v>
      </c>
      <c r="I469" s="1">
        <v>0.41723356009070295</v>
      </c>
      <c r="J469" s="1">
        <v>1.8364988993769356</v>
      </c>
      <c r="K469" s="1">
        <v>5007744</v>
      </c>
      <c r="L469" s="1">
        <v>2726788.4569377988</v>
      </c>
      <c r="M469">
        <v>8730</v>
      </c>
      <c r="N469" s="6">
        <v>0</v>
      </c>
    </row>
    <row r="470" spans="1:14" x14ac:dyDescent="0.25">
      <c r="A470" s="8">
        <v>150</v>
      </c>
      <c r="B470" s="8">
        <v>150</v>
      </c>
      <c r="C470" s="8">
        <v>12</v>
      </c>
      <c r="D470" s="8">
        <v>450</v>
      </c>
      <c r="E470" s="8">
        <v>756</v>
      </c>
      <c r="F470" s="1">
        <v>154.90430622009569</v>
      </c>
      <c r="G470" s="1">
        <f t="shared" si="18"/>
        <v>3</v>
      </c>
      <c r="H470" s="1">
        <f t="shared" si="19"/>
        <v>12.5</v>
      </c>
      <c r="I470" s="1">
        <v>0.41723356009070295</v>
      </c>
      <c r="J470" s="1">
        <v>2.0362801985659131</v>
      </c>
      <c r="K470" s="1">
        <v>5007744</v>
      </c>
      <c r="L470" s="1">
        <v>2459260.765550239</v>
      </c>
      <c r="M470">
        <v>8912</v>
      </c>
      <c r="N470" s="6">
        <v>0</v>
      </c>
    </row>
    <row r="471" spans="1:14" x14ac:dyDescent="0.25">
      <c r="A471" s="8">
        <v>150</v>
      </c>
      <c r="B471" s="8">
        <v>150</v>
      </c>
      <c r="C471" s="8">
        <v>12.5</v>
      </c>
      <c r="D471" s="8">
        <v>450</v>
      </c>
      <c r="E471" s="8">
        <v>446</v>
      </c>
      <c r="F471" s="1">
        <v>159.40490430622009</v>
      </c>
      <c r="G471" s="1">
        <f t="shared" si="18"/>
        <v>3</v>
      </c>
      <c r="H471" s="1">
        <f t="shared" si="19"/>
        <v>12</v>
      </c>
      <c r="I471" s="1">
        <v>0.44</v>
      </c>
      <c r="J471" s="1">
        <v>1.231078810618141</v>
      </c>
      <c r="K471" s="1">
        <v>3066250</v>
      </c>
      <c r="L471" s="1">
        <v>2490701.6297846888</v>
      </c>
      <c r="M471">
        <v>5953</v>
      </c>
      <c r="N471" s="6">
        <v>0</v>
      </c>
    </row>
    <row r="472" spans="1:14" x14ac:dyDescent="0.25">
      <c r="A472" s="8">
        <v>150</v>
      </c>
      <c r="B472" s="8">
        <v>150</v>
      </c>
      <c r="C472" s="8">
        <v>12.5</v>
      </c>
      <c r="D472" s="8">
        <v>450</v>
      </c>
      <c r="E472" s="8">
        <v>446</v>
      </c>
      <c r="F472" s="1">
        <v>164.53349282296648</v>
      </c>
      <c r="G472" s="1">
        <f t="shared" si="18"/>
        <v>3</v>
      </c>
      <c r="H472" s="1">
        <f t="shared" si="19"/>
        <v>12</v>
      </c>
      <c r="I472" s="1">
        <v>0.44</v>
      </c>
      <c r="J472" s="1">
        <v>1.1927054889131226</v>
      </c>
      <c r="K472" s="1">
        <v>3066250</v>
      </c>
      <c r="L472" s="1">
        <v>2570835.8253588513</v>
      </c>
      <c r="M472">
        <v>5911</v>
      </c>
      <c r="N472" s="6">
        <v>0</v>
      </c>
    </row>
    <row r="473" spans="1:14" x14ac:dyDescent="0.25">
      <c r="A473" s="8">
        <v>150</v>
      </c>
      <c r="B473" s="8">
        <v>150</v>
      </c>
      <c r="C473" s="8">
        <v>12.5</v>
      </c>
      <c r="D473" s="8">
        <v>450</v>
      </c>
      <c r="E473" s="8">
        <v>446</v>
      </c>
      <c r="F473" s="1">
        <v>153.85765550239233</v>
      </c>
      <c r="G473" s="1">
        <f t="shared" si="18"/>
        <v>3</v>
      </c>
      <c r="H473" s="1">
        <f t="shared" si="19"/>
        <v>12</v>
      </c>
      <c r="I473" s="1">
        <v>0.44</v>
      </c>
      <c r="J473" s="1">
        <v>1.2754646452866862</v>
      </c>
      <c r="K473" s="1">
        <v>3066250</v>
      </c>
      <c r="L473" s="1">
        <v>2404025.86722488</v>
      </c>
      <c r="M473">
        <v>6039</v>
      </c>
      <c r="N473" s="6">
        <v>0</v>
      </c>
    </row>
    <row r="474" spans="1:14" x14ac:dyDescent="0.25">
      <c r="A474" s="8">
        <v>150</v>
      </c>
      <c r="B474" s="8">
        <v>150</v>
      </c>
      <c r="C474" s="8">
        <v>12.5</v>
      </c>
      <c r="D474" s="8">
        <v>450</v>
      </c>
      <c r="E474" s="8">
        <v>446</v>
      </c>
      <c r="F474" s="1">
        <v>171.75538277511961</v>
      </c>
      <c r="G474" s="1">
        <f t="shared" si="18"/>
        <v>3</v>
      </c>
      <c r="H474" s="1">
        <f t="shared" si="19"/>
        <v>12</v>
      </c>
      <c r="I474" s="1">
        <v>0.44</v>
      </c>
      <c r="J474" s="1">
        <v>1.1425551667101943</v>
      </c>
      <c r="K474" s="1">
        <v>3066250</v>
      </c>
      <c r="L474" s="1">
        <v>2683677.8558612438</v>
      </c>
      <c r="M474">
        <v>6409</v>
      </c>
      <c r="N474" s="6">
        <v>0</v>
      </c>
    </row>
    <row r="475" spans="1:14" x14ac:dyDescent="0.25">
      <c r="A475" s="8">
        <v>150</v>
      </c>
      <c r="B475" s="8">
        <v>150</v>
      </c>
      <c r="C475" s="8">
        <v>12.5</v>
      </c>
      <c r="D475" s="8">
        <v>450</v>
      </c>
      <c r="E475" s="8">
        <v>446</v>
      </c>
      <c r="F475" s="1">
        <v>154.90430622009569</v>
      </c>
      <c r="G475" s="1">
        <f t="shared" si="18"/>
        <v>3</v>
      </c>
      <c r="H475" s="1">
        <f t="shared" si="19"/>
        <v>12</v>
      </c>
      <c r="I475" s="1">
        <v>0.44</v>
      </c>
      <c r="J475" s="1">
        <v>1.266846640926641</v>
      </c>
      <c r="K475" s="1">
        <v>3066250</v>
      </c>
      <c r="L475" s="1">
        <v>2420379.7846889952</v>
      </c>
      <c r="M475">
        <v>6285</v>
      </c>
      <c r="N475" s="6">
        <v>0</v>
      </c>
    </row>
    <row r="476" spans="1:14" x14ac:dyDescent="0.25">
      <c r="A476" s="8">
        <v>197</v>
      </c>
      <c r="B476" s="8">
        <v>197</v>
      </c>
      <c r="C476" s="8">
        <v>6.4</v>
      </c>
      <c r="D476" s="8">
        <v>600</v>
      </c>
      <c r="E476" s="8">
        <v>437.88</v>
      </c>
      <c r="F476" s="1">
        <v>18.605999999999998</v>
      </c>
      <c r="G476" s="1">
        <f t="shared" si="18"/>
        <v>3.0456852791878171</v>
      </c>
      <c r="H476" s="1">
        <f t="shared" si="19"/>
        <v>30.78125</v>
      </c>
      <c r="I476" s="1">
        <v>0.14380818658848135</v>
      </c>
      <c r="J476" s="1">
        <v>3.3844312986866725</v>
      </c>
      <c r="K476" s="1">
        <v>2136574.1568000005</v>
      </c>
      <c r="L476" s="1">
        <v>631294.88183999993</v>
      </c>
      <c r="M476">
        <v>2730</v>
      </c>
      <c r="N476" s="6">
        <v>0</v>
      </c>
    </row>
    <row r="477" spans="1:14" x14ac:dyDescent="0.25">
      <c r="A477" s="8">
        <v>198.5</v>
      </c>
      <c r="B477" s="8">
        <v>198.5</v>
      </c>
      <c r="C477" s="8">
        <v>6.1</v>
      </c>
      <c r="D477" s="8">
        <v>600</v>
      </c>
      <c r="E477" s="8">
        <v>437.88</v>
      </c>
      <c r="F477" s="1">
        <v>18.066999999999997</v>
      </c>
      <c r="G477" s="1">
        <f t="shared" si="18"/>
        <v>3.0226700251889169</v>
      </c>
      <c r="H477" s="1">
        <f t="shared" si="19"/>
        <v>32.540983606557376</v>
      </c>
      <c r="I477" s="1">
        <v>0.13525993807136105</v>
      </c>
      <c r="J477" s="1">
        <v>3.2782211591679626</v>
      </c>
      <c r="K477" s="1">
        <v>2055653.9327999989</v>
      </c>
      <c r="L477" s="1">
        <v>627063.83522999997</v>
      </c>
      <c r="M477">
        <v>3010</v>
      </c>
      <c r="N477" s="6">
        <v>0</v>
      </c>
    </row>
    <row r="478" spans="1:14" x14ac:dyDescent="0.25">
      <c r="A478" s="8">
        <v>200.5</v>
      </c>
      <c r="B478" s="8">
        <v>200.5</v>
      </c>
      <c r="C478" s="8">
        <v>6.3</v>
      </c>
      <c r="D478" s="8">
        <v>600</v>
      </c>
      <c r="E478" s="8">
        <v>437.88</v>
      </c>
      <c r="F478" s="1">
        <v>17.128999999999998</v>
      </c>
      <c r="G478" s="1">
        <f t="shared" si="18"/>
        <v>2.9925187032418954</v>
      </c>
      <c r="H478" s="1">
        <f t="shared" si="19"/>
        <v>31.825396825396826</v>
      </c>
      <c r="I478" s="1">
        <v>0.13861052426457393</v>
      </c>
      <c r="J478" s="1">
        <v>3.5433928638549617</v>
      </c>
      <c r="K478" s="1">
        <v>2142914.6591999982</v>
      </c>
      <c r="L478" s="1">
        <v>604763.49688999995</v>
      </c>
      <c r="M478">
        <v>2830</v>
      </c>
      <c r="N478" s="6">
        <v>0</v>
      </c>
    </row>
    <row r="479" spans="1:14" x14ac:dyDescent="0.25">
      <c r="A479" s="8">
        <v>201</v>
      </c>
      <c r="B479" s="8">
        <v>201</v>
      </c>
      <c r="C479" s="8">
        <v>10.3</v>
      </c>
      <c r="D479" s="8">
        <v>600</v>
      </c>
      <c r="E479" s="8">
        <v>381.68</v>
      </c>
      <c r="F479" s="1">
        <v>18.605999999999998</v>
      </c>
      <c r="G479" s="1">
        <f t="shared" si="18"/>
        <v>2.9850746268656718</v>
      </c>
      <c r="H479" s="1">
        <f t="shared" si="19"/>
        <v>19.514563106796114</v>
      </c>
      <c r="I479" s="1">
        <v>0.24142088780291135</v>
      </c>
      <c r="J479" s="1">
        <v>4.9524628859838344</v>
      </c>
      <c r="K479" s="1">
        <v>2998798.6911999988</v>
      </c>
      <c r="L479" s="1">
        <v>605516.64095999999</v>
      </c>
      <c r="M479">
        <v>3980</v>
      </c>
      <c r="N479" s="6">
        <v>0</v>
      </c>
    </row>
    <row r="480" spans="1:14" x14ac:dyDescent="0.25">
      <c r="A480" s="8">
        <v>201</v>
      </c>
      <c r="B480" s="8">
        <v>201</v>
      </c>
      <c r="C480" s="8">
        <v>10</v>
      </c>
      <c r="D480" s="8">
        <v>600</v>
      </c>
      <c r="E480" s="8">
        <v>381.68</v>
      </c>
      <c r="F480" s="1">
        <v>18.066999999999997</v>
      </c>
      <c r="G480" s="1">
        <f t="shared" si="18"/>
        <v>2.9850746268656718</v>
      </c>
      <c r="H480" s="1">
        <f t="shared" si="19"/>
        <v>20.100000000000001</v>
      </c>
      <c r="I480" s="1">
        <v>0.23320411464851501</v>
      </c>
      <c r="J480" s="1">
        <v>4.9266256976280092</v>
      </c>
      <c r="K480" s="1">
        <v>2916035.2</v>
      </c>
      <c r="L480" s="1">
        <v>591892.98699999985</v>
      </c>
      <c r="M480">
        <v>3920</v>
      </c>
      <c r="N480" s="6">
        <v>0</v>
      </c>
    </row>
    <row r="481" spans="1:14" x14ac:dyDescent="0.25">
      <c r="A481" s="8">
        <v>199.5</v>
      </c>
      <c r="B481" s="8">
        <v>199.5</v>
      </c>
      <c r="C481" s="8">
        <v>10.1</v>
      </c>
      <c r="D481" s="8">
        <v>600</v>
      </c>
      <c r="E481" s="8">
        <v>381.68</v>
      </c>
      <c r="F481" s="1">
        <v>17.128999999999998</v>
      </c>
      <c r="G481" s="1">
        <f t="shared" si="18"/>
        <v>3.007518796992481</v>
      </c>
      <c r="H481" s="1">
        <f t="shared" si="19"/>
        <v>19.752475247524753</v>
      </c>
      <c r="I481" s="1">
        <v>0.23801304509169774</v>
      </c>
      <c r="J481" s="1">
        <v>5.3035681622160782</v>
      </c>
      <c r="K481" s="1">
        <v>2920523.7567999982</v>
      </c>
      <c r="L481" s="1">
        <v>550671.48521000007</v>
      </c>
      <c r="M481">
        <v>3900</v>
      </c>
      <c r="N481" s="6">
        <v>0</v>
      </c>
    </row>
    <row r="482" spans="1:14" x14ac:dyDescent="0.25">
      <c r="A482" s="8">
        <v>100</v>
      </c>
      <c r="B482" s="8">
        <v>150</v>
      </c>
      <c r="C482" s="8">
        <v>4.5</v>
      </c>
      <c r="D482" s="8">
        <v>1855</v>
      </c>
      <c r="E482" s="8">
        <v>379.8</v>
      </c>
      <c r="F482" s="1">
        <v>25.374999999999996</v>
      </c>
      <c r="G482" s="1">
        <f t="shared" si="18"/>
        <v>18.55</v>
      </c>
      <c r="H482" s="1">
        <f t="shared" si="19"/>
        <v>22.222222222222221</v>
      </c>
      <c r="I482" s="1">
        <v>0.16904372223521161</v>
      </c>
      <c r="J482" s="1">
        <v>2.5301598307362907</v>
      </c>
      <c r="K482" s="1">
        <v>823786.20000000007</v>
      </c>
      <c r="L482" s="1">
        <v>325586.62499999994</v>
      </c>
      <c r="M482">
        <v>1344.8</v>
      </c>
      <c r="N482" s="6">
        <v>1</v>
      </c>
    </row>
    <row r="483" spans="1:14" x14ac:dyDescent="0.25">
      <c r="A483" s="8">
        <v>100</v>
      </c>
      <c r="B483" s="8">
        <v>150</v>
      </c>
      <c r="C483" s="8">
        <v>4.5</v>
      </c>
      <c r="D483" s="8">
        <v>1855</v>
      </c>
      <c r="E483" s="8">
        <v>379.8</v>
      </c>
      <c r="F483" s="1">
        <v>25.374999999999996</v>
      </c>
      <c r="G483" s="1">
        <f t="shared" si="18"/>
        <v>18.55</v>
      </c>
      <c r="H483" s="1">
        <f t="shared" si="19"/>
        <v>22.222222222222221</v>
      </c>
      <c r="I483" s="1">
        <v>0.16904372223521161</v>
      </c>
      <c r="J483" s="1">
        <v>2.5301598307362907</v>
      </c>
      <c r="K483" s="1">
        <v>823786.20000000007</v>
      </c>
      <c r="L483" s="1">
        <v>325586.62499999994</v>
      </c>
      <c r="M483">
        <v>1281.3</v>
      </c>
      <c r="N483" s="6">
        <v>1</v>
      </c>
    </row>
    <row r="484" spans="1:14" x14ac:dyDescent="0.25">
      <c r="A484" s="8">
        <v>100</v>
      </c>
      <c r="B484" s="8">
        <v>150</v>
      </c>
      <c r="C484" s="8">
        <v>4.5</v>
      </c>
      <c r="D484" s="8">
        <v>1855</v>
      </c>
      <c r="E484" s="8">
        <v>379.8</v>
      </c>
      <c r="F484" s="1">
        <v>25.374999999999996</v>
      </c>
      <c r="G484" s="1">
        <f t="shared" si="18"/>
        <v>18.55</v>
      </c>
      <c r="H484" s="1">
        <f t="shared" si="19"/>
        <v>22.222222222222221</v>
      </c>
      <c r="I484" s="1">
        <v>0.16904372223521161</v>
      </c>
      <c r="J484" s="1">
        <v>2.5301598307362907</v>
      </c>
      <c r="K484" s="1">
        <v>823786.20000000007</v>
      </c>
      <c r="L484" s="1">
        <v>325586.62499999994</v>
      </c>
      <c r="M484">
        <v>1320.2</v>
      </c>
      <c r="N484" s="6">
        <v>1</v>
      </c>
    </row>
    <row r="485" spans="1:14" x14ac:dyDescent="0.25">
      <c r="A485" s="8">
        <v>100</v>
      </c>
      <c r="B485" s="8">
        <v>150</v>
      </c>
      <c r="C485" s="8">
        <v>4.5</v>
      </c>
      <c r="D485" s="8">
        <v>1855</v>
      </c>
      <c r="E485" s="8">
        <v>379.8</v>
      </c>
      <c r="F485" s="1">
        <v>25.374999999999996</v>
      </c>
      <c r="G485" s="1">
        <f t="shared" si="18"/>
        <v>18.55</v>
      </c>
      <c r="H485" s="1">
        <f t="shared" si="19"/>
        <v>22.222222222222221</v>
      </c>
      <c r="I485" s="1">
        <v>0.16904372223521161</v>
      </c>
      <c r="J485" s="1">
        <v>2.5301598307362907</v>
      </c>
      <c r="K485" s="1">
        <v>823786.20000000007</v>
      </c>
      <c r="L485" s="1">
        <v>325586.62499999994</v>
      </c>
      <c r="M485">
        <v>1367.6</v>
      </c>
      <c r="N485" s="6">
        <v>1</v>
      </c>
    </row>
    <row r="486" spans="1:14" x14ac:dyDescent="0.25">
      <c r="A486" s="8">
        <v>100</v>
      </c>
      <c r="B486" s="8">
        <v>150</v>
      </c>
      <c r="C486" s="8">
        <v>4.5</v>
      </c>
      <c r="D486" s="8">
        <v>1855</v>
      </c>
      <c r="E486" s="8">
        <v>379.8</v>
      </c>
      <c r="F486" s="1">
        <v>55.124999999999993</v>
      </c>
      <c r="G486" s="1">
        <f t="shared" si="18"/>
        <v>18.55</v>
      </c>
      <c r="H486" s="1">
        <f t="shared" si="19"/>
        <v>22.222222222222221</v>
      </c>
      <c r="I486" s="1">
        <v>0.16904372223521161</v>
      </c>
      <c r="J486" s="1">
        <v>1.1646767474817847</v>
      </c>
      <c r="K486" s="1">
        <v>823786.20000000007</v>
      </c>
      <c r="L486" s="1">
        <v>707308.87499999988</v>
      </c>
      <c r="M486">
        <v>1756.1</v>
      </c>
      <c r="N486" s="6">
        <v>1</v>
      </c>
    </row>
    <row r="487" spans="1:14" x14ac:dyDescent="0.25">
      <c r="A487" s="8">
        <v>100</v>
      </c>
      <c r="B487" s="8">
        <v>150</v>
      </c>
      <c r="C487" s="8">
        <v>4.5</v>
      </c>
      <c r="D487" s="8">
        <v>1855</v>
      </c>
      <c r="E487" s="8">
        <v>379.8</v>
      </c>
      <c r="F487" s="1">
        <v>55.124999999999993</v>
      </c>
      <c r="G487" s="1">
        <f t="shared" si="18"/>
        <v>18.55</v>
      </c>
      <c r="H487" s="1">
        <f t="shared" si="19"/>
        <v>22.222222222222221</v>
      </c>
      <c r="I487" s="1">
        <v>0.16904372223521161</v>
      </c>
      <c r="J487" s="1">
        <v>1.1646767474817847</v>
      </c>
      <c r="K487" s="1">
        <v>823786.20000000007</v>
      </c>
      <c r="L487" s="1">
        <v>707308.87499999988</v>
      </c>
      <c r="M487">
        <v>1702.8</v>
      </c>
      <c r="N487" s="6">
        <v>1</v>
      </c>
    </row>
    <row r="488" spans="1:14" x14ac:dyDescent="0.25">
      <c r="A488" s="8">
        <v>100</v>
      </c>
      <c r="B488" s="8">
        <v>150</v>
      </c>
      <c r="C488" s="8">
        <v>4.5</v>
      </c>
      <c r="D488" s="8">
        <v>1855</v>
      </c>
      <c r="E488" s="8">
        <v>379.8</v>
      </c>
      <c r="F488" s="1">
        <v>55.124999999999993</v>
      </c>
      <c r="G488" s="1">
        <f t="shared" si="18"/>
        <v>18.55</v>
      </c>
      <c r="H488" s="1">
        <f t="shared" si="19"/>
        <v>22.222222222222221</v>
      </c>
      <c r="I488" s="1">
        <v>0.16904372223521161</v>
      </c>
      <c r="J488" s="1">
        <v>1.1646767474817847</v>
      </c>
      <c r="K488" s="1">
        <v>823786.20000000007</v>
      </c>
      <c r="L488" s="1">
        <v>707308.87499999988</v>
      </c>
      <c r="M488">
        <v>1762.7</v>
      </c>
      <c r="N488" s="6">
        <v>1</v>
      </c>
    </row>
    <row r="489" spans="1:14" x14ac:dyDescent="0.25">
      <c r="A489" s="8">
        <v>100</v>
      </c>
      <c r="B489" s="8">
        <v>150</v>
      </c>
      <c r="C489" s="8">
        <v>4.5</v>
      </c>
      <c r="D489" s="8">
        <v>1855</v>
      </c>
      <c r="E489" s="8">
        <v>379.8</v>
      </c>
      <c r="F489" s="1">
        <v>55.124999999999993</v>
      </c>
      <c r="G489" s="1">
        <f t="shared" si="18"/>
        <v>18.55</v>
      </c>
      <c r="H489" s="1">
        <f t="shared" si="19"/>
        <v>22.222222222222221</v>
      </c>
      <c r="I489" s="1">
        <v>0.16904372223521161</v>
      </c>
      <c r="J489" s="1">
        <v>1.1646767474817847</v>
      </c>
      <c r="K489" s="1">
        <v>823786.20000000007</v>
      </c>
      <c r="L489" s="1">
        <v>707308.87499999988</v>
      </c>
      <c r="M489">
        <v>1737.5</v>
      </c>
      <c r="N489" s="6">
        <v>1</v>
      </c>
    </row>
    <row r="490" spans="1:14" x14ac:dyDescent="0.25">
      <c r="A490" s="8">
        <v>100</v>
      </c>
      <c r="B490" s="8">
        <v>150</v>
      </c>
      <c r="C490" s="8">
        <v>4.5</v>
      </c>
      <c r="D490" s="8">
        <v>1855</v>
      </c>
      <c r="E490" s="8">
        <v>379.8</v>
      </c>
      <c r="F490" s="1">
        <v>55.124999999999993</v>
      </c>
      <c r="G490" s="1">
        <f t="shared" si="18"/>
        <v>18.55</v>
      </c>
      <c r="H490" s="1">
        <f t="shared" si="19"/>
        <v>22.222222222222221</v>
      </c>
      <c r="I490" s="1">
        <v>0.16904372223521161</v>
      </c>
      <c r="J490" s="1">
        <v>1.1646767474817847</v>
      </c>
      <c r="K490" s="1">
        <v>823786.20000000007</v>
      </c>
      <c r="L490" s="1">
        <v>707308.87499999988</v>
      </c>
      <c r="M490">
        <v>1669.2</v>
      </c>
      <c r="N490" s="6">
        <v>1</v>
      </c>
    </row>
    <row r="491" spans="1:14" x14ac:dyDescent="0.25">
      <c r="A491" s="8">
        <v>100</v>
      </c>
      <c r="B491" s="8">
        <v>150</v>
      </c>
      <c r="C491" s="8">
        <v>4.5</v>
      </c>
      <c r="D491" s="8">
        <v>1855</v>
      </c>
      <c r="E491" s="8">
        <v>379.8</v>
      </c>
      <c r="F491" s="1">
        <v>55.124999999999993</v>
      </c>
      <c r="G491" s="1">
        <f t="shared" si="18"/>
        <v>18.55</v>
      </c>
      <c r="H491" s="1">
        <f t="shared" si="19"/>
        <v>22.222222222222221</v>
      </c>
      <c r="I491" s="1">
        <v>0.16904372223521161</v>
      </c>
      <c r="J491" s="1">
        <v>1.1646767474817847</v>
      </c>
      <c r="K491" s="1">
        <v>823786.20000000007</v>
      </c>
      <c r="L491" s="1">
        <v>707308.87499999988</v>
      </c>
      <c r="M491">
        <v>1705.8</v>
      </c>
      <c r="N491" s="6">
        <v>1</v>
      </c>
    </row>
    <row r="492" spans="1:14" x14ac:dyDescent="0.25">
      <c r="A492" s="8">
        <v>100</v>
      </c>
      <c r="B492" s="8">
        <v>150</v>
      </c>
      <c r="C492" s="8">
        <v>4.5</v>
      </c>
      <c r="D492" s="8">
        <v>1855</v>
      </c>
      <c r="E492" s="8">
        <v>379.8</v>
      </c>
      <c r="F492" s="1">
        <v>61.25</v>
      </c>
      <c r="G492" s="1">
        <f t="shared" si="18"/>
        <v>18.55</v>
      </c>
      <c r="H492" s="1">
        <f t="shared" si="19"/>
        <v>22.222222222222221</v>
      </c>
      <c r="I492" s="1">
        <v>0.16904372223521161</v>
      </c>
      <c r="J492" s="1">
        <v>1.048209072733606</v>
      </c>
      <c r="K492" s="1">
        <v>823786.20000000007</v>
      </c>
      <c r="L492" s="1">
        <v>785898.75</v>
      </c>
      <c r="M492">
        <v>1894.6</v>
      </c>
      <c r="N492" s="6">
        <v>1</v>
      </c>
    </row>
    <row r="493" spans="1:14" x14ac:dyDescent="0.25">
      <c r="A493" s="8">
        <v>100</v>
      </c>
      <c r="B493" s="8">
        <v>150</v>
      </c>
      <c r="C493" s="8">
        <v>4.5</v>
      </c>
      <c r="D493" s="8">
        <v>1855</v>
      </c>
      <c r="E493" s="8">
        <v>379.8</v>
      </c>
      <c r="F493" s="1">
        <v>61.25</v>
      </c>
      <c r="G493" s="1">
        <f t="shared" si="18"/>
        <v>18.55</v>
      </c>
      <c r="H493" s="1">
        <f t="shared" si="19"/>
        <v>22.222222222222221</v>
      </c>
      <c r="I493" s="1">
        <v>0.16904372223521161</v>
      </c>
      <c r="J493" s="1">
        <v>1.048209072733606</v>
      </c>
      <c r="K493" s="1">
        <v>823786.20000000007</v>
      </c>
      <c r="L493" s="1">
        <v>785898.75</v>
      </c>
      <c r="M493">
        <v>1889.2</v>
      </c>
      <c r="N493" s="6">
        <v>1</v>
      </c>
    </row>
    <row r="494" spans="1:14" x14ac:dyDescent="0.25">
      <c r="A494" s="8">
        <v>100</v>
      </c>
      <c r="B494" s="8">
        <v>150</v>
      </c>
      <c r="C494" s="8">
        <v>4.5</v>
      </c>
      <c r="D494" s="8">
        <v>1855</v>
      </c>
      <c r="E494" s="8">
        <v>379.8</v>
      </c>
      <c r="F494" s="1">
        <v>61.25</v>
      </c>
      <c r="G494" s="1">
        <f t="shared" si="18"/>
        <v>18.55</v>
      </c>
      <c r="H494" s="1">
        <f t="shared" si="19"/>
        <v>22.222222222222221</v>
      </c>
      <c r="I494" s="1">
        <v>0.16904372223521161</v>
      </c>
      <c r="J494" s="1">
        <v>1.048209072733606</v>
      </c>
      <c r="K494" s="1">
        <v>823786.20000000007</v>
      </c>
      <c r="L494" s="1">
        <v>785898.75</v>
      </c>
      <c r="M494">
        <v>1885.6</v>
      </c>
      <c r="N494" s="6">
        <v>1</v>
      </c>
    </row>
    <row r="495" spans="1:14" x14ac:dyDescent="0.25">
      <c r="A495" s="8">
        <v>100</v>
      </c>
      <c r="B495" s="8">
        <v>150</v>
      </c>
      <c r="C495" s="8">
        <v>4.5</v>
      </c>
      <c r="D495" s="8">
        <v>1855</v>
      </c>
      <c r="E495" s="8">
        <v>379.8</v>
      </c>
      <c r="F495" s="1">
        <v>61.25</v>
      </c>
      <c r="G495" s="1">
        <f t="shared" si="18"/>
        <v>18.55</v>
      </c>
      <c r="H495" s="1">
        <f t="shared" si="19"/>
        <v>22.222222222222221</v>
      </c>
      <c r="I495" s="1">
        <v>0.16904372223521161</v>
      </c>
      <c r="J495" s="1">
        <v>1.048209072733606</v>
      </c>
      <c r="K495" s="1">
        <v>823786.20000000007</v>
      </c>
      <c r="L495" s="1">
        <v>785898.75</v>
      </c>
      <c r="M495">
        <v>1891.6</v>
      </c>
      <c r="N495" s="6">
        <v>1</v>
      </c>
    </row>
    <row r="496" spans="1:14" x14ac:dyDescent="0.25">
      <c r="A496" s="8">
        <v>100</v>
      </c>
      <c r="B496" s="8">
        <v>150</v>
      </c>
      <c r="C496" s="8">
        <v>4.5</v>
      </c>
      <c r="D496" s="8">
        <v>1855</v>
      </c>
      <c r="E496" s="8">
        <v>379.8</v>
      </c>
      <c r="F496" s="1">
        <v>61.25</v>
      </c>
      <c r="G496" s="1">
        <f t="shared" si="18"/>
        <v>18.55</v>
      </c>
      <c r="H496" s="1">
        <f t="shared" si="19"/>
        <v>22.222222222222221</v>
      </c>
      <c r="I496" s="1">
        <v>0.16904372223521161</v>
      </c>
      <c r="J496" s="1">
        <v>1.048209072733606</v>
      </c>
      <c r="K496" s="1">
        <v>823786.20000000007</v>
      </c>
      <c r="L496" s="1">
        <v>785898.75</v>
      </c>
      <c r="M496">
        <v>1862.3</v>
      </c>
      <c r="N496" s="6">
        <v>1</v>
      </c>
    </row>
    <row r="497" spans="1:14" x14ac:dyDescent="0.25">
      <c r="A497" s="8">
        <v>100</v>
      </c>
      <c r="B497" s="8">
        <v>150</v>
      </c>
      <c r="C497" s="8">
        <v>4.5</v>
      </c>
      <c r="D497" s="8">
        <v>1855</v>
      </c>
      <c r="E497" s="8">
        <v>379.8</v>
      </c>
      <c r="F497" s="1">
        <v>61.25</v>
      </c>
      <c r="G497" s="1">
        <f t="shared" si="18"/>
        <v>18.55</v>
      </c>
      <c r="H497" s="1">
        <f t="shared" si="19"/>
        <v>22.222222222222221</v>
      </c>
      <c r="I497" s="1">
        <v>0.16904372223521161</v>
      </c>
      <c r="J497" s="1">
        <v>1.048209072733606</v>
      </c>
      <c r="K497" s="1">
        <v>823786.20000000007</v>
      </c>
      <c r="L497" s="1">
        <v>785898.75</v>
      </c>
      <c r="M497">
        <v>1889.8</v>
      </c>
      <c r="N497" s="6">
        <v>1</v>
      </c>
    </row>
    <row r="498" spans="1:14" x14ac:dyDescent="0.25">
      <c r="A498" s="8">
        <v>100</v>
      </c>
      <c r="B498" s="8">
        <v>150</v>
      </c>
      <c r="C498" s="8">
        <v>4.5</v>
      </c>
      <c r="D498" s="8">
        <v>1855</v>
      </c>
      <c r="E498" s="8">
        <v>379.8</v>
      </c>
      <c r="F498" s="1">
        <v>73.499999999999986</v>
      </c>
      <c r="G498" s="1">
        <f t="shared" si="18"/>
        <v>18.55</v>
      </c>
      <c r="H498" s="1">
        <f t="shared" si="19"/>
        <v>22.222222222222221</v>
      </c>
      <c r="I498" s="1">
        <v>0.16904372223521161</v>
      </c>
      <c r="J498" s="1">
        <v>0.87350756061133861</v>
      </c>
      <c r="K498" s="1">
        <v>823786.20000000007</v>
      </c>
      <c r="L498" s="1">
        <v>943078.49999999977</v>
      </c>
      <c r="M498">
        <v>2066.1</v>
      </c>
      <c r="N498" s="6">
        <v>1</v>
      </c>
    </row>
    <row r="499" spans="1:14" x14ac:dyDescent="0.25">
      <c r="A499" s="8">
        <v>100</v>
      </c>
      <c r="B499" s="8">
        <v>150</v>
      </c>
      <c r="C499" s="8">
        <v>4.5</v>
      </c>
      <c r="D499" s="8">
        <v>1855</v>
      </c>
      <c r="E499" s="8">
        <v>379.8</v>
      </c>
      <c r="F499" s="1">
        <v>73.499999999999986</v>
      </c>
      <c r="G499" s="1">
        <f t="shared" si="18"/>
        <v>18.55</v>
      </c>
      <c r="H499" s="1">
        <f t="shared" si="19"/>
        <v>22.222222222222221</v>
      </c>
      <c r="I499" s="1">
        <v>0.16904372223521161</v>
      </c>
      <c r="J499" s="1">
        <v>0.87350756061133861</v>
      </c>
      <c r="K499" s="1">
        <v>823786.20000000007</v>
      </c>
      <c r="L499" s="1">
        <v>943078.49999999977</v>
      </c>
      <c r="M499">
        <v>2196.4</v>
      </c>
      <c r="N499" s="6">
        <v>1</v>
      </c>
    </row>
    <row r="500" spans="1:14" x14ac:dyDescent="0.25">
      <c r="A500" s="8">
        <v>100</v>
      </c>
      <c r="B500" s="8">
        <v>150</v>
      </c>
      <c r="C500" s="8">
        <v>4.5</v>
      </c>
      <c r="D500" s="8">
        <v>1855</v>
      </c>
      <c r="E500" s="8">
        <v>379.8</v>
      </c>
      <c r="F500" s="1">
        <v>73.499999999999986</v>
      </c>
      <c r="G500" s="1">
        <f t="shared" si="18"/>
        <v>18.55</v>
      </c>
      <c r="H500" s="1">
        <f t="shared" si="19"/>
        <v>22.222222222222221</v>
      </c>
      <c r="I500" s="1">
        <v>0.16904372223521161</v>
      </c>
      <c r="J500" s="1">
        <v>0.87350756061133861</v>
      </c>
      <c r="K500" s="1">
        <v>823786.20000000007</v>
      </c>
      <c r="L500" s="1">
        <v>943078.49999999977</v>
      </c>
      <c r="M500">
        <v>2096.1</v>
      </c>
      <c r="N500" s="6">
        <v>1</v>
      </c>
    </row>
    <row r="501" spans="1:14" x14ac:dyDescent="0.25">
      <c r="A501" s="8">
        <v>100</v>
      </c>
      <c r="B501" s="8">
        <v>150</v>
      </c>
      <c r="C501" s="8">
        <v>4.5</v>
      </c>
      <c r="D501" s="8">
        <v>1855</v>
      </c>
      <c r="E501" s="8">
        <v>379.8</v>
      </c>
      <c r="F501" s="1">
        <v>73.499999999999986</v>
      </c>
      <c r="G501" s="1">
        <f t="shared" si="18"/>
        <v>18.55</v>
      </c>
      <c r="H501" s="1">
        <f t="shared" si="19"/>
        <v>22.222222222222221</v>
      </c>
      <c r="I501" s="1">
        <v>0.16904372223521161</v>
      </c>
      <c r="J501" s="1">
        <v>0.87350756061133861</v>
      </c>
      <c r="K501" s="1">
        <v>823786.20000000007</v>
      </c>
      <c r="L501" s="1">
        <v>943078.49999999977</v>
      </c>
      <c r="M501">
        <v>2090.1</v>
      </c>
      <c r="N501" s="6">
        <v>1</v>
      </c>
    </row>
    <row r="502" spans="1:14" x14ac:dyDescent="0.25">
      <c r="A502" s="8">
        <v>100</v>
      </c>
      <c r="B502" s="8">
        <v>150</v>
      </c>
      <c r="C502" s="8">
        <v>4.5</v>
      </c>
      <c r="D502" s="8">
        <v>1855</v>
      </c>
      <c r="E502" s="8">
        <v>379.8</v>
      </c>
      <c r="F502" s="1">
        <v>73.499999999999986</v>
      </c>
      <c r="G502" s="1">
        <f t="shared" si="18"/>
        <v>18.55</v>
      </c>
      <c r="H502" s="1">
        <f t="shared" si="19"/>
        <v>22.222222222222221</v>
      </c>
      <c r="I502" s="1">
        <v>0.16904372223521161</v>
      </c>
      <c r="J502" s="1">
        <v>0.87350756061133861</v>
      </c>
      <c r="K502" s="1">
        <v>823786.20000000007</v>
      </c>
      <c r="L502" s="1">
        <v>943078.49999999977</v>
      </c>
      <c r="M502">
        <v>2006.7</v>
      </c>
      <c r="N502" s="6">
        <v>1</v>
      </c>
    </row>
    <row r="503" spans="1:14" x14ac:dyDescent="0.25">
      <c r="A503" s="8">
        <v>100</v>
      </c>
      <c r="B503" s="8">
        <v>150</v>
      </c>
      <c r="C503" s="8">
        <v>4.5</v>
      </c>
      <c r="D503" s="8">
        <v>1855</v>
      </c>
      <c r="E503" s="8">
        <v>379.8</v>
      </c>
      <c r="F503" s="1">
        <v>73.499999999999986</v>
      </c>
      <c r="G503" s="1">
        <f t="shared" si="18"/>
        <v>18.55</v>
      </c>
      <c r="H503" s="1">
        <f t="shared" si="19"/>
        <v>22.222222222222221</v>
      </c>
      <c r="I503" s="1">
        <v>0.16904372223521161</v>
      </c>
      <c r="J503" s="1">
        <v>0.87350756061133861</v>
      </c>
      <c r="K503" s="1">
        <v>823786.20000000007</v>
      </c>
      <c r="L503" s="1">
        <v>943078.49999999977</v>
      </c>
      <c r="M503">
        <v>2083.5</v>
      </c>
      <c r="N503" s="6">
        <v>1</v>
      </c>
    </row>
    <row r="504" spans="1:14" x14ac:dyDescent="0.25">
      <c r="A504" s="8">
        <v>100.4</v>
      </c>
      <c r="B504" s="8">
        <v>100.4</v>
      </c>
      <c r="C504" s="8">
        <v>2.0699999999999998</v>
      </c>
      <c r="D504" s="8">
        <v>300</v>
      </c>
      <c r="E504" s="8">
        <v>348.7</v>
      </c>
      <c r="F504" s="1">
        <v>51.624999999999993</v>
      </c>
      <c r="G504" s="1">
        <f t="shared" si="18"/>
        <v>2.9880478087649402</v>
      </c>
      <c r="H504" s="1">
        <f t="shared" si="19"/>
        <v>48.502415458937207</v>
      </c>
      <c r="I504" s="1">
        <v>8.7866769862718283E-2</v>
      </c>
      <c r="J504" s="1">
        <v>0.59349428864174081</v>
      </c>
      <c r="K504" s="1">
        <v>283901.91588000045</v>
      </c>
      <c r="L504" s="1">
        <v>478356.60984999995</v>
      </c>
      <c r="M504">
        <v>987</v>
      </c>
      <c r="N504" s="6">
        <v>0</v>
      </c>
    </row>
    <row r="505" spans="1:14" x14ac:dyDescent="0.25">
      <c r="A505" s="8">
        <v>100.4</v>
      </c>
      <c r="B505" s="8">
        <v>100.4</v>
      </c>
      <c r="C505" s="8">
        <v>2.0299999999999998</v>
      </c>
      <c r="D505" s="8">
        <v>300</v>
      </c>
      <c r="E505" s="8">
        <v>348.7</v>
      </c>
      <c r="F505" s="1">
        <v>99.049999999999983</v>
      </c>
      <c r="G505" s="1">
        <f t="shared" si="18"/>
        <v>2.9880478087649402</v>
      </c>
      <c r="H505" s="1">
        <f t="shared" si="19"/>
        <v>49.458128078817744</v>
      </c>
      <c r="I505" s="1">
        <v>8.6060807493218136E-2</v>
      </c>
      <c r="J505" s="1">
        <v>0.30297227231585228</v>
      </c>
      <c r="K505" s="1">
        <v>278529.14628000063</v>
      </c>
      <c r="L505" s="1">
        <v>919322.2341799998</v>
      </c>
      <c r="M505">
        <v>1406</v>
      </c>
      <c r="N505" s="6">
        <v>0</v>
      </c>
    </row>
    <row r="506" spans="1:14" x14ac:dyDescent="0.25">
      <c r="A506" s="8">
        <v>100.4</v>
      </c>
      <c r="B506" s="8">
        <v>100.4</v>
      </c>
      <c r="C506" s="8">
        <v>2.0499999999999998</v>
      </c>
      <c r="D506" s="8">
        <v>300</v>
      </c>
      <c r="E506" s="8">
        <v>348.7</v>
      </c>
      <c r="F506" s="1">
        <v>114.45</v>
      </c>
      <c r="G506" s="1">
        <f t="shared" si="18"/>
        <v>2.9880478087649402</v>
      </c>
      <c r="H506" s="1">
        <f t="shared" si="19"/>
        <v>48.975609756097569</v>
      </c>
      <c r="I506" s="1">
        <v>8.6963226072900773E-2</v>
      </c>
      <c r="J506" s="1">
        <v>0.26495480062577975</v>
      </c>
      <c r="K506" s="1">
        <v>281216.08899999975</v>
      </c>
      <c r="L506" s="1">
        <v>1061373.8205000004</v>
      </c>
      <c r="M506">
        <v>1575</v>
      </c>
      <c r="N506" s="6">
        <v>0</v>
      </c>
    </row>
    <row r="507" spans="1:14" x14ac:dyDescent="0.25">
      <c r="A507" s="8">
        <v>100.4</v>
      </c>
      <c r="B507" s="8">
        <v>100.4</v>
      </c>
      <c r="C507" s="8">
        <v>3.79</v>
      </c>
      <c r="D507" s="8">
        <v>300</v>
      </c>
      <c r="E507" s="8">
        <v>306.7</v>
      </c>
      <c r="F507" s="1">
        <v>51.624999999999993</v>
      </c>
      <c r="G507" s="1">
        <f t="shared" si="18"/>
        <v>2.9880478087649402</v>
      </c>
      <c r="H507" s="1">
        <f t="shared" si="19"/>
        <v>26.490765171503959</v>
      </c>
      <c r="I507" s="1">
        <v>0.16999578576064386</v>
      </c>
      <c r="J507" s="1">
        <v>1.0099313800056073</v>
      </c>
      <c r="K507" s="1">
        <v>449195.15092000033</v>
      </c>
      <c r="L507" s="1">
        <v>444777.89264999994</v>
      </c>
      <c r="M507">
        <v>1138</v>
      </c>
      <c r="N507" s="6">
        <v>0</v>
      </c>
    </row>
    <row r="508" spans="1:14" x14ac:dyDescent="0.25">
      <c r="A508" s="8">
        <v>100.3</v>
      </c>
      <c r="B508" s="8">
        <v>100.3</v>
      </c>
      <c r="C508" s="8">
        <v>3.83</v>
      </c>
      <c r="D508" s="8">
        <v>300</v>
      </c>
      <c r="E508" s="8">
        <v>306.7</v>
      </c>
      <c r="F508" s="1">
        <v>99.049999999999983</v>
      </c>
      <c r="G508" s="1">
        <f t="shared" si="18"/>
        <v>2.9910269192422732</v>
      </c>
      <c r="H508" s="1">
        <f t="shared" si="19"/>
        <v>26.187989556135769</v>
      </c>
      <c r="I508" s="1">
        <v>0.1722082490655977</v>
      </c>
      <c r="J508" s="1">
        <v>0.53322836939342577</v>
      </c>
      <c r="K508" s="1">
        <v>453278.18668000028</v>
      </c>
      <c r="L508" s="1">
        <v>850063.89887999976</v>
      </c>
      <c r="M508">
        <v>1544</v>
      </c>
      <c r="N508" s="6">
        <v>0</v>
      </c>
    </row>
    <row r="509" spans="1:14" x14ac:dyDescent="0.25">
      <c r="A509" s="8">
        <v>100.4</v>
      </c>
      <c r="B509" s="8">
        <v>100.4</v>
      </c>
      <c r="C509" s="8">
        <v>3.79</v>
      </c>
      <c r="D509" s="8">
        <v>300</v>
      </c>
      <c r="E509" s="8">
        <v>306.7</v>
      </c>
      <c r="F509" s="1">
        <v>114.45</v>
      </c>
      <c r="G509" s="1">
        <f t="shared" si="18"/>
        <v>2.9880478087649402</v>
      </c>
      <c r="H509" s="1">
        <f t="shared" si="19"/>
        <v>26.490765171503959</v>
      </c>
      <c r="I509" s="1">
        <v>0.16999578576064386</v>
      </c>
      <c r="J509" s="1">
        <v>0.45555008731139773</v>
      </c>
      <c r="K509" s="1">
        <v>449195.15092000033</v>
      </c>
      <c r="L509" s="1">
        <v>986049.97218000004</v>
      </c>
      <c r="M509">
        <v>1676</v>
      </c>
      <c r="N509" s="6">
        <v>0</v>
      </c>
    </row>
    <row r="510" spans="1:14" x14ac:dyDescent="0.25">
      <c r="A510" s="8">
        <v>100.7</v>
      </c>
      <c r="B510" s="8">
        <v>100.7</v>
      </c>
      <c r="C510" s="8">
        <v>7.6</v>
      </c>
      <c r="D510" s="8">
        <v>300</v>
      </c>
      <c r="E510" s="8">
        <v>371.6</v>
      </c>
      <c r="F510" s="1">
        <v>51.624999999999993</v>
      </c>
      <c r="G510" s="1">
        <f t="shared" si="18"/>
        <v>2.9791459781529293</v>
      </c>
      <c r="H510" s="1">
        <f t="shared" si="19"/>
        <v>13.250000000000002</v>
      </c>
      <c r="I510" s="1">
        <v>0.38716049382716045</v>
      </c>
      <c r="J510" s="1">
        <v>2.786805607867755</v>
      </c>
      <c r="K510" s="1">
        <v>1051717.1839999999</v>
      </c>
      <c r="L510" s="1">
        <v>377391.65624999994</v>
      </c>
      <c r="M510">
        <v>1647</v>
      </c>
      <c r="N510" s="6">
        <v>0</v>
      </c>
    </row>
    <row r="511" spans="1:14" x14ac:dyDescent="0.25">
      <c r="A511" s="8">
        <v>100.7</v>
      </c>
      <c r="B511" s="8">
        <v>100.7</v>
      </c>
      <c r="C511" s="8">
        <v>7.59</v>
      </c>
      <c r="D511" s="8">
        <v>300</v>
      </c>
      <c r="E511" s="8">
        <v>371.6</v>
      </c>
      <c r="F511" s="1">
        <v>99.049999999999983</v>
      </c>
      <c r="G511" s="1">
        <f t="shared" si="18"/>
        <v>2.9791459781529293</v>
      </c>
      <c r="H511" s="1">
        <f t="shared" si="19"/>
        <v>13.26745718050066</v>
      </c>
      <c r="I511" s="1">
        <v>0.38651175748909838</v>
      </c>
      <c r="J511" s="1">
        <v>1.4500531961933267</v>
      </c>
      <c r="K511" s="1">
        <v>1050446.1633599994</v>
      </c>
      <c r="L511" s="1">
        <v>724419.05312000006</v>
      </c>
      <c r="M511">
        <v>1976</v>
      </c>
      <c r="N511" s="6">
        <v>0</v>
      </c>
    </row>
    <row r="512" spans="1:14" x14ac:dyDescent="0.25">
      <c r="A512" s="8">
        <v>100.7</v>
      </c>
      <c r="B512" s="8">
        <v>100.7</v>
      </c>
      <c r="C512" s="8">
        <v>7.63</v>
      </c>
      <c r="D512" s="8">
        <v>300</v>
      </c>
      <c r="E512" s="8">
        <v>371.6</v>
      </c>
      <c r="F512" s="1">
        <v>114.45</v>
      </c>
      <c r="G512" s="1">
        <f t="shared" si="18"/>
        <v>2.9791459781529293</v>
      </c>
      <c r="H512" s="1">
        <f t="shared" si="19"/>
        <v>13.197903014416777</v>
      </c>
      <c r="I512" s="1">
        <v>0.38910943702745165</v>
      </c>
      <c r="J512" s="1">
        <v>1.2633732354687728</v>
      </c>
      <c r="K512" s="1">
        <v>1055528.46224</v>
      </c>
      <c r="L512" s="1">
        <v>835484.26751999999</v>
      </c>
      <c r="M512">
        <v>2051</v>
      </c>
      <c r="N512" s="6">
        <v>0</v>
      </c>
    </row>
    <row r="513" spans="1:14" x14ac:dyDescent="0.25">
      <c r="A513" s="8">
        <v>125</v>
      </c>
      <c r="B513" s="8">
        <v>125</v>
      </c>
      <c r="C513" s="8">
        <v>4</v>
      </c>
      <c r="D513" s="8">
        <v>300</v>
      </c>
      <c r="E513" s="8">
        <v>342.59</v>
      </c>
      <c r="F513" s="1">
        <v>40.836249999999993</v>
      </c>
      <c r="G513" s="1">
        <f t="shared" si="18"/>
        <v>2.4</v>
      </c>
      <c r="H513" s="1">
        <f t="shared" si="19"/>
        <v>31.25</v>
      </c>
      <c r="I513" s="1">
        <v>0.14142742347870552</v>
      </c>
      <c r="J513" s="1">
        <v>1.186485561469766</v>
      </c>
      <c r="K513" s="1">
        <v>663254.24</v>
      </c>
      <c r="L513" s="1">
        <v>559007.4262499999</v>
      </c>
      <c r="M513">
        <v>1159.2</v>
      </c>
      <c r="N513" s="6">
        <v>0</v>
      </c>
    </row>
    <row r="514" spans="1:14" x14ac:dyDescent="0.25">
      <c r="A514" s="8">
        <v>125</v>
      </c>
      <c r="B514" s="8">
        <v>125</v>
      </c>
      <c r="C514" s="8">
        <v>4</v>
      </c>
      <c r="D514" s="8">
        <v>300</v>
      </c>
      <c r="E514" s="8">
        <v>342.59</v>
      </c>
      <c r="F514" s="1">
        <v>82.538749999999979</v>
      </c>
      <c r="G514" s="1">
        <f t="shared" ref="G514:G578" si="20">D514/A514</f>
        <v>2.4</v>
      </c>
      <c r="H514" s="1">
        <f t="shared" ref="H514:H578" si="21">A514/C514</f>
        <v>31.25</v>
      </c>
      <c r="I514" s="1">
        <v>0.14142742347870552</v>
      </c>
      <c r="J514" s="1">
        <v>0.587016655929121</v>
      </c>
      <c r="K514" s="1">
        <v>663254.24</v>
      </c>
      <c r="L514" s="1">
        <v>1129872.9487499997</v>
      </c>
      <c r="M514">
        <v>1882.5</v>
      </c>
      <c r="N514" s="6">
        <v>0</v>
      </c>
    </row>
    <row r="515" spans="1:14" x14ac:dyDescent="0.25">
      <c r="A515" s="8">
        <v>100</v>
      </c>
      <c r="B515" s="8">
        <v>150</v>
      </c>
      <c r="C515" s="8">
        <v>4</v>
      </c>
      <c r="D515" s="8">
        <v>300</v>
      </c>
      <c r="E515" s="8">
        <v>270.83999999999997</v>
      </c>
      <c r="F515" s="1">
        <v>35.358749999999993</v>
      </c>
      <c r="G515" s="1">
        <f t="shared" si="20"/>
        <v>3</v>
      </c>
      <c r="H515" s="1">
        <f t="shared" si="21"/>
        <v>25</v>
      </c>
      <c r="I515" s="1">
        <v>0.14819350887936314</v>
      </c>
      <c r="J515" s="1">
        <v>1.1351286441089325</v>
      </c>
      <c r="K515" s="1">
        <v>524346.24</v>
      </c>
      <c r="L515" s="1">
        <v>461926.7099999999</v>
      </c>
      <c r="M515">
        <v>912</v>
      </c>
      <c r="N515" s="6">
        <v>0</v>
      </c>
    </row>
    <row r="516" spans="1:14" x14ac:dyDescent="0.25">
      <c r="A516" s="8">
        <v>100</v>
      </c>
      <c r="B516" s="8">
        <v>150</v>
      </c>
      <c r="C516" s="8">
        <v>4</v>
      </c>
      <c r="D516" s="8">
        <v>300</v>
      </c>
      <c r="E516" s="8">
        <v>270.83999999999997</v>
      </c>
      <c r="F516" s="1">
        <v>79.257499999999979</v>
      </c>
      <c r="G516" s="1">
        <f t="shared" si="20"/>
        <v>3</v>
      </c>
      <c r="H516" s="1">
        <f t="shared" si="21"/>
        <v>25</v>
      </c>
      <c r="I516" s="1">
        <v>0.14819350887936314</v>
      </c>
      <c r="J516" s="1">
        <v>0.50640923502364721</v>
      </c>
      <c r="K516" s="1">
        <v>524346.24</v>
      </c>
      <c r="L516" s="1">
        <v>1035419.9799999997</v>
      </c>
      <c r="M516">
        <v>1188.5</v>
      </c>
      <c r="N516" s="6">
        <v>0</v>
      </c>
    </row>
    <row r="517" spans="1:14" x14ac:dyDescent="0.25">
      <c r="A517" s="8">
        <v>125</v>
      </c>
      <c r="B517" s="8">
        <v>125</v>
      </c>
      <c r="C517" s="8">
        <v>3</v>
      </c>
      <c r="D517" s="8">
        <v>300</v>
      </c>
      <c r="E517" s="8">
        <v>296.06</v>
      </c>
      <c r="F517" s="1">
        <v>40.836249999999993</v>
      </c>
      <c r="G517" s="1">
        <f t="shared" si="20"/>
        <v>2.4</v>
      </c>
      <c r="H517" s="1">
        <f t="shared" si="21"/>
        <v>41.666666666666664</v>
      </c>
      <c r="I517" s="1">
        <v>0.10338252948238119</v>
      </c>
      <c r="J517" s="1">
        <v>0.7495162185204024</v>
      </c>
      <c r="K517" s="1">
        <v>433431.84</v>
      </c>
      <c r="L517" s="1">
        <v>578282.13624999986</v>
      </c>
      <c r="M517">
        <v>824.5</v>
      </c>
      <c r="N517" s="6">
        <v>0</v>
      </c>
    </row>
    <row r="518" spans="1:14" x14ac:dyDescent="0.25">
      <c r="A518" s="8">
        <v>125</v>
      </c>
      <c r="B518" s="8">
        <v>125</v>
      </c>
      <c r="C518" s="8">
        <v>3</v>
      </c>
      <c r="D518" s="8">
        <v>300</v>
      </c>
      <c r="E518" s="8">
        <v>296.06</v>
      </c>
      <c r="F518" s="1">
        <v>82.521249999999995</v>
      </c>
      <c r="G518" s="1">
        <f t="shared" si="20"/>
        <v>2.4</v>
      </c>
      <c r="H518" s="1">
        <f t="shared" si="21"/>
        <v>41.666666666666664</v>
      </c>
      <c r="I518" s="1">
        <v>0.10338252948238119</v>
      </c>
      <c r="J518" s="1">
        <v>0.37090363607620802</v>
      </c>
      <c r="K518" s="1">
        <v>433431.84</v>
      </c>
      <c r="L518" s="1">
        <v>1168583.4212499999</v>
      </c>
      <c r="M518">
        <v>1441.2</v>
      </c>
      <c r="N518" s="6">
        <v>0</v>
      </c>
    </row>
    <row r="519" spans="1:14" x14ac:dyDescent="0.25">
      <c r="A519" s="8">
        <v>200</v>
      </c>
      <c r="B519" s="8">
        <v>200</v>
      </c>
      <c r="C519" s="8">
        <v>6</v>
      </c>
      <c r="D519" s="8">
        <v>695</v>
      </c>
      <c r="E519" s="8">
        <v>485</v>
      </c>
      <c r="F519" s="1">
        <v>33.249999999999993</v>
      </c>
      <c r="G519" s="1">
        <f t="shared" si="20"/>
        <v>3.4750000000000001</v>
      </c>
      <c r="H519" s="1">
        <f t="shared" si="21"/>
        <v>33.333333333333336</v>
      </c>
      <c r="I519" s="1">
        <v>0.13173381620642824</v>
      </c>
      <c r="J519" s="1">
        <v>1.921530852935871</v>
      </c>
      <c r="K519" s="1">
        <v>2258160</v>
      </c>
      <c r="L519" s="1">
        <v>1175187.9999999998</v>
      </c>
      <c r="M519">
        <v>3488</v>
      </c>
      <c r="N519" s="6">
        <v>0</v>
      </c>
    </row>
    <row r="520" spans="1:14" x14ac:dyDescent="0.25">
      <c r="A520" s="8">
        <v>200</v>
      </c>
      <c r="B520" s="8">
        <v>200</v>
      </c>
      <c r="C520" s="8">
        <v>6</v>
      </c>
      <c r="D520" s="8">
        <v>695</v>
      </c>
      <c r="E520" s="8">
        <v>485</v>
      </c>
      <c r="F520" s="1">
        <v>33.249999999999993</v>
      </c>
      <c r="G520" s="1">
        <f t="shared" si="20"/>
        <v>3.4750000000000001</v>
      </c>
      <c r="H520" s="1">
        <f t="shared" si="21"/>
        <v>33.333333333333336</v>
      </c>
      <c r="I520" s="1">
        <v>0.13173381620642824</v>
      </c>
      <c r="J520" s="1">
        <v>1.921530852935871</v>
      </c>
      <c r="K520" s="1">
        <v>2258160</v>
      </c>
      <c r="L520" s="1">
        <v>1175187.9999999998</v>
      </c>
      <c r="M520">
        <v>3452</v>
      </c>
      <c r="N520" s="6">
        <v>0</v>
      </c>
    </row>
    <row r="521" spans="1:14" x14ac:dyDescent="0.25">
      <c r="A521" s="8">
        <v>200</v>
      </c>
      <c r="B521" s="8">
        <v>200</v>
      </c>
      <c r="C521" s="8">
        <v>6</v>
      </c>
      <c r="D521" s="8">
        <v>695</v>
      </c>
      <c r="E521" s="8">
        <v>485</v>
      </c>
      <c r="F521" s="1">
        <v>70.437499999999986</v>
      </c>
      <c r="G521" s="1">
        <f t="shared" si="20"/>
        <v>3.4750000000000001</v>
      </c>
      <c r="H521" s="1">
        <f t="shared" si="21"/>
        <v>33.333333333333336</v>
      </c>
      <c r="I521" s="1">
        <v>0.13173381620642824</v>
      </c>
      <c r="J521" s="1">
        <v>0.90705804237966581</v>
      </c>
      <c r="K521" s="1">
        <v>2258160</v>
      </c>
      <c r="L521" s="1">
        <v>2489542.9999999995</v>
      </c>
      <c r="M521">
        <v>4921</v>
      </c>
      <c r="N521" s="6">
        <v>0</v>
      </c>
    </row>
    <row r="522" spans="1:14" x14ac:dyDescent="0.25">
      <c r="A522" s="8">
        <v>200</v>
      </c>
      <c r="B522" s="8">
        <v>200</v>
      </c>
      <c r="C522" s="8">
        <v>6</v>
      </c>
      <c r="D522" s="8">
        <v>695</v>
      </c>
      <c r="E522" s="8">
        <v>485</v>
      </c>
      <c r="F522" s="1">
        <v>70.437499999999986</v>
      </c>
      <c r="G522" s="1">
        <f t="shared" si="20"/>
        <v>3.4750000000000001</v>
      </c>
      <c r="H522" s="1">
        <f t="shared" si="21"/>
        <v>33.333333333333336</v>
      </c>
      <c r="I522" s="1">
        <v>0.13173381620642824</v>
      </c>
      <c r="J522" s="1">
        <v>0.90705804237966581</v>
      </c>
      <c r="K522" s="1">
        <v>2258160</v>
      </c>
      <c r="L522" s="1">
        <v>2489542.9999999995</v>
      </c>
      <c r="M522">
        <v>4973</v>
      </c>
      <c r="N522" s="6">
        <v>0</v>
      </c>
    </row>
    <row r="523" spans="1:14" x14ac:dyDescent="0.25">
      <c r="A523" s="8">
        <v>200</v>
      </c>
      <c r="B523" s="8">
        <v>200</v>
      </c>
      <c r="C523" s="8">
        <v>6</v>
      </c>
      <c r="D523" s="8">
        <v>695</v>
      </c>
      <c r="E523" s="8">
        <v>485</v>
      </c>
      <c r="F523" s="1">
        <v>98.087499999999977</v>
      </c>
      <c r="G523" s="1">
        <f t="shared" si="20"/>
        <v>3.4750000000000001</v>
      </c>
      <c r="H523" s="1">
        <f t="shared" si="21"/>
        <v>33.333333333333336</v>
      </c>
      <c r="I523" s="1">
        <v>0.13173381620642824</v>
      </c>
      <c r="J523" s="1">
        <v>0.65136639082571901</v>
      </c>
      <c r="K523" s="1">
        <v>2258160</v>
      </c>
      <c r="L523" s="1">
        <v>3466804.5999999992</v>
      </c>
      <c r="M523">
        <v>6060</v>
      </c>
      <c r="N523" s="6">
        <v>0</v>
      </c>
    </row>
    <row r="524" spans="1:14" x14ac:dyDescent="0.25">
      <c r="A524" s="8">
        <v>200</v>
      </c>
      <c r="B524" s="8">
        <v>200</v>
      </c>
      <c r="C524" s="8">
        <v>6</v>
      </c>
      <c r="D524" s="8">
        <v>695</v>
      </c>
      <c r="E524" s="8">
        <v>485</v>
      </c>
      <c r="F524" s="1">
        <v>98.087499999999977</v>
      </c>
      <c r="G524" s="1">
        <f t="shared" si="20"/>
        <v>3.4750000000000001</v>
      </c>
      <c r="H524" s="1">
        <f t="shared" si="21"/>
        <v>33.333333333333336</v>
      </c>
      <c r="I524" s="1">
        <v>0.13173381620642824</v>
      </c>
      <c r="J524" s="1">
        <v>0.65136639082571901</v>
      </c>
      <c r="K524" s="1">
        <v>2258160</v>
      </c>
      <c r="L524" s="1">
        <v>3466804.5999999992</v>
      </c>
      <c r="M524">
        <v>6298</v>
      </c>
      <c r="N524" s="6">
        <v>0</v>
      </c>
    </row>
    <row r="525" spans="1:14" x14ac:dyDescent="0.25">
      <c r="A525" s="8">
        <v>200</v>
      </c>
      <c r="B525" s="8">
        <v>200</v>
      </c>
      <c r="C525" s="8">
        <v>6</v>
      </c>
      <c r="D525" s="8">
        <v>695</v>
      </c>
      <c r="E525" s="8">
        <v>485</v>
      </c>
      <c r="F525" s="1">
        <v>98.087499999999977</v>
      </c>
      <c r="G525" s="1">
        <f t="shared" si="20"/>
        <v>3.4750000000000001</v>
      </c>
      <c r="H525" s="1">
        <f t="shared" si="21"/>
        <v>33.333333333333336</v>
      </c>
      <c r="I525" s="1">
        <v>0.13173381620642824</v>
      </c>
      <c r="J525" s="1">
        <v>0.65136639082571901</v>
      </c>
      <c r="K525" s="1">
        <v>2258160</v>
      </c>
      <c r="L525" s="1">
        <v>3466804.5999999992</v>
      </c>
      <c r="M525">
        <v>6218</v>
      </c>
      <c r="N525" s="6">
        <v>0</v>
      </c>
    </row>
    <row r="526" spans="1:14" x14ac:dyDescent="0.25">
      <c r="A526" s="8">
        <v>126</v>
      </c>
      <c r="B526" s="8">
        <v>126</v>
      </c>
      <c r="C526" s="8">
        <v>3</v>
      </c>
      <c r="D526" s="8">
        <v>300</v>
      </c>
      <c r="E526" s="8">
        <v>300</v>
      </c>
      <c r="F526" s="1">
        <v>35</v>
      </c>
      <c r="G526" s="1">
        <f t="shared" si="20"/>
        <v>2.3809523809523809</v>
      </c>
      <c r="H526" s="1">
        <f t="shared" si="21"/>
        <v>42</v>
      </c>
      <c r="I526" s="1">
        <v>0.10249999999999999</v>
      </c>
      <c r="J526" s="1">
        <v>0.87857142857142856</v>
      </c>
      <c r="K526" s="1">
        <v>442800</v>
      </c>
      <c r="L526" s="1">
        <v>504000</v>
      </c>
      <c r="M526">
        <v>950</v>
      </c>
      <c r="N526" s="6">
        <v>0</v>
      </c>
    </row>
    <row r="527" spans="1:14" x14ac:dyDescent="0.25">
      <c r="A527" s="8">
        <v>156</v>
      </c>
      <c r="B527" s="8">
        <v>156</v>
      </c>
      <c r="C527" s="8">
        <v>3</v>
      </c>
      <c r="D527" s="8">
        <v>300</v>
      </c>
      <c r="E527" s="8">
        <v>300</v>
      </c>
      <c r="F527" s="1">
        <v>43.75</v>
      </c>
      <c r="G527" s="1">
        <f t="shared" si="20"/>
        <v>1.9230769230769231</v>
      </c>
      <c r="H527" s="1">
        <f t="shared" si="21"/>
        <v>52</v>
      </c>
      <c r="I527" s="1">
        <v>8.1600000000000006E-2</v>
      </c>
      <c r="J527" s="1">
        <v>0.55954285714285712</v>
      </c>
      <c r="K527" s="1">
        <v>550800</v>
      </c>
      <c r="L527" s="1">
        <v>984375</v>
      </c>
      <c r="M527">
        <v>1300</v>
      </c>
      <c r="N527" s="6">
        <v>0</v>
      </c>
    </row>
    <row r="528" spans="1:14" x14ac:dyDescent="0.25">
      <c r="A528" s="8">
        <v>186</v>
      </c>
      <c r="B528" s="8">
        <v>186</v>
      </c>
      <c r="C528" s="8">
        <v>3</v>
      </c>
      <c r="D528" s="8">
        <v>300</v>
      </c>
      <c r="E528" s="8">
        <v>300</v>
      </c>
      <c r="F528" s="1">
        <v>27.999999999999996</v>
      </c>
      <c r="G528" s="1">
        <f t="shared" si="20"/>
        <v>1.6129032258064515</v>
      </c>
      <c r="H528" s="1">
        <f t="shared" si="21"/>
        <v>62</v>
      </c>
      <c r="I528" s="1">
        <v>6.7777777777777784E-2</v>
      </c>
      <c r="J528" s="1">
        <v>0.72619047619047628</v>
      </c>
      <c r="K528" s="1">
        <v>658800</v>
      </c>
      <c r="L528" s="1">
        <v>907199.99999999988</v>
      </c>
      <c r="M528">
        <v>1200</v>
      </c>
      <c r="N528" s="6">
        <v>0</v>
      </c>
    </row>
    <row r="529" spans="1:14" x14ac:dyDescent="0.25">
      <c r="A529" s="8">
        <v>246</v>
      </c>
      <c r="B529" s="8">
        <v>246</v>
      </c>
      <c r="C529" s="8">
        <v>3</v>
      </c>
      <c r="D529" s="8">
        <v>300</v>
      </c>
      <c r="E529" s="8">
        <v>300</v>
      </c>
      <c r="F529" s="1">
        <v>33.249999999999993</v>
      </c>
      <c r="G529" s="1">
        <f t="shared" si="20"/>
        <v>1.2195121951219512</v>
      </c>
      <c r="H529" s="1">
        <f t="shared" si="21"/>
        <v>82</v>
      </c>
      <c r="I529" s="1">
        <v>5.0625000000000003E-2</v>
      </c>
      <c r="J529" s="1">
        <v>0.45676691729323321</v>
      </c>
      <c r="K529" s="1">
        <v>874800</v>
      </c>
      <c r="L529" s="1">
        <v>1915199.9999999995</v>
      </c>
      <c r="M529">
        <v>2200</v>
      </c>
      <c r="N529" s="6">
        <v>0</v>
      </c>
    </row>
    <row r="530" spans="1:14" x14ac:dyDescent="0.25">
      <c r="A530" s="8">
        <v>306</v>
      </c>
      <c r="B530" s="8">
        <v>306</v>
      </c>
      <c r="C530" s="8">
        <v>3</v>
      </c>
      <c r="D530" s="8">
        <v>300</v>
      </c>
      <c r="E530" s="8">
        <v>300</v>
      </c>
      <c r="F530" s="1">
        <v>33.249999999999993</v>
      </c>
      <c r="G530" s="1">
        <f t="shared" si="20"/>
        <v>0.98039215686274506</v>
      </c>
      <c r="H530" s="1">
        <f t="shared" si="21"/>
        <v>102</v>
      </c>
      <c r="I530" s="1">
        <v>4.0399999999999998E-2</v>
      </c>
      <c r="J530" s="1">
        <v>0.36451127819548879</v>
      </c>
      <c r="K530" s="1">
        <v>1090800</v>
      </c>
      <c r="L530" s="1">
        <v>2992499.9999999995</v>
      </c>
      <c r="M530">
        <v>2519</v>
      </c>
      <c r="N530" s="6">
        <v>0</v>
      </c>
    </row>
    <row r="531" spans="1:14" x14ac:dyDescent="0.25">
      <c r="A531" s="8">
        <v>250</v>
      </c>
      <c r="B531" s="8">
        <v>250</v>
      </c>
      <c r="C531" s="8">
        <v>2.5</v>
      </c>
      <c r="D531" s="8">
        <v>750</v>
      </c>
      <c r="E531" s="8">
        <v>338</v>
      </c>
      <c r="F531" s="1">
        <v>17.849999999999998</v>
      </c>
      <c r="G531" s="1">
        <f t="shared" si="20"/>
        <v>3</v>
      </c>
      <c r="H531" s="1">
        <f t="shared" si="21"/>
        <v>100</v>
      </c>
      <c r="I531" s="1">
        <v>4.1232819658475632E-2</v>
      </c>
      <c r="J531" s="1">
        <v>0.78076711734256399</v>
      </c>
      <c r="K531" s="1">
        <v>836550</v>
      </c>
      <c r="L531" s="1">
        <v>1071446.2499999998</v>
      </c>
      <c r="M531">
        <v>1993</v>
      </c>
      <c r="N531" s="6">
        <v>0</v>
      </c>
    </row>
    <row r="532" spans="1:14" x14ac:dyDescent="0.25">
      <c r="A532" s="8">
        <v>250</v>
      </c>
      <c r="B532" s="8">
        <v>250</v>
      </c>
      <c r="C532" s="8">
        <v>2.5</v>
      </c>
      <c r="D532" s="8">
        <v>750</v>
      </c>
      <c r="E532" s="8">
        <v>338</v>
      </c>
      <c r="F532" s="1">
        <v>17.849999999999998</v>
      </c>
      <c r="G532" s="1">
        <f t="shared" si="20"/>
        <v>3</v>
      </c>
      <c r="H532" s="1">
        <f t="shared" si="21"/>
        <v>100</v>
      </c>
      <c r="I532" s="1">
        <v>4.1232819658475632E-2</v>
      </c>
      <c r="J532" s="1">
        <v>0.78076711734256399</v>
      </c>
      <c r="K532" s="1">
        <v>836550</v>
      </c>
      <c r="L532" s="1">
        <v>1071446.2499999998</v>
      </c>
      <c r="M532">
        <v>2020</v>
      </c>
      <c r="N532" s="6">
        <v>0</v>
      </c>
    </row>
    <row r="533" spans="1:14" x14ac:dyDescent="0.25">
      <c r="A533" s="8">
        <v>250</v>
      </c>
      <c r="B533" s="8">
        <v>250</v>
      </c>
      <c r="C533" s="8">
        <v>2.5</v>
      </c>
      <c r="D533" s="8">
        <v>750</v>
      </c>
      <c r="E533" s="8">
        <v>338</v>
      </c>
      <c r="F533" s="1">
        <v>35.559999999999995</v>
      </c>
      <c r="G533" s="1">
        <f t="shared" si="20"/>
        <v>3</v>
      </c>
      <c r="H533" s="1">
        <f t="shared" si="21"/>
        <v>100</v>
      </c>
      <c r="I533" s="1">
        <v>4.1232819658475632E-2</v>
      </c>
      <c r="J533" s="1">
        <v>0.39192050181565713</v>
      </c>
      <c r="K533" s="1">
        <v>836550</v>
      </c>
      <c r="L533" s="1">
        <v>2134488.9999999995</v>
      </c>
      <c r="M533">
        <v>3190</v>
      </c>
      <c r="N533" s="6">
        <v>0</v>
      </c>
    </row>
    <row r="534" spans="1:14" x14ac:dyDescent="0.25">
      <c r="A534" s="8">
        <v>250</v>
      </c>
      <c r="B534" s="8">
        <v>250</v>
      </c>
      <c r="C534" s="8">
        <v>2.5</v>
      </c>
      <c r="D534" s="8">
        <v>750</v>
      </c>
      <c r="E534" s="8">
        <v>338</v>
      </c>
      <c r="F534" s="1">
        <v>35.839999999999996</v>
      </c>
      <c r="G534" s="1">
        <f t="shared" si="20"/>
        <v>3</v>
      </c>
      <c r="H534" s="1">
        <f t="shared" si="21"/>
        <v>100</v>
      </c>
      <c r="I534" s="1">
        <v>4.1232819658475632E-2</v>
      </c>
      <c r="J534" s="1">
        <v>0.38885862289522222</v>
      </c>
      <c r="K534" s="1">
        <v>836550</v>
      </c>
      <c r="L534" s="1">
        <v>2151296</v>
      </c>
      <c r="M534">
        <v>3150</v>
      </c>
      <c r="N534" s="6">
        <v>0</v>
      </c>
    </row>
    <row r="535" spans="1:14" x14ac:dyDescent="0.25">
      <c r="A535" s="8">
        <v>250</v>
      </c>
      <c r="B535" s="8">
        <v>250</v>
      </c>
      <c r="C535" s="8">
        <v>2.5</v>
      </c>
      <c r="D535" s="8">
        <v>750</v>
      </c>
      <c r="E535" s="8">
        <v>342</v>
      </c>
      <c r="F535" s="1">
        <v>46.9</v>
      </c>
      <c r="G535" s="1">
        <f t="shared" si="20"/>
        <v>3</v>
      </c>
      <c r="H535" s="1">
        <f t="shared" si="21"/>
        <v>100</v>
      </c>
      <c r="I535" s="1">
        <v>4.1232819658475632E-2</v>
      </c>
      <c r="J535" s="1">
        <v>0.30067429260551531</v>
      </c>
      <c r="K535" s="1">
        <v>846450</v>
      </c>
      <c r="L535" s="1">
        <v>2815172.5</v>
      </c>
      <c r="M535">
        <v>4080</v>
      </c>
      <c r="N535" s="6">
        <v>0</v>
      </c>
    </row>
    <row r="536" spans="1:14" x14ac:dyDescent="0.25">
      <c r="A536" s="8">
        <v>250</v>
      </c>
      <c r="B536" s="8">
        <v>250</v>
      </c>
      <c r="C536" s="8">
        <v>2.5</v>
      </c>
      <c r="D536" s="8">
        <v>750</v>
      </c>
      <c r="E536" s="8">
        <v>342</v>
      </c>
      <c r="F536" s="1">
        <v>46.9</v>
      </c>
      <c r="G536" s="1">
        <f t="shared" si="20"/>
        <v>3</v>
      </c>
      <c r="H536" s="1">
        <f t="shared" si="21"/>
        <v>100</v>
      </c>
      <c r="I536" s="1">
        <v>4.1232819658475632E-2</v>
      </c>
      <c r="J536" s="1">
        <v>0.30067429260551531</v>
      </c>
      <c r="K536" s="1">
        <v>846450</v>
      </c>
      <c r="L536" s="1">
        <v>2815172.5</v>
      </c>
      <c r="M536">
        <v>4040</v>
      </c>
      <c r="N536" s="6">
        <v>0</v>
      </c>
    </row>
    <row r="537" spans="1:14" x14ac:dyDescent="0.25">
      <c r="A537" s="8">
        <v>190</v>
      </c>
      <c r="B537" s="8">
        <v>190</v>
      </c>
      <c r="C537" s="8">
        <v>2.5</v>
      </c>
      <c r="D537" s="8">
        <v>570</v>
      </c>
      <c r="E537" s="8">
        <v>342</v>
      </c>
      <c r="F537" s="1">
        <v>46.9</v>
      </c>
      <c r="G537" s="1">
        <f t="shared" si="20"/>
        <v>3</v>
      </c>
      <c r="H537" s="1">
        <f t="shared" si="21"/>
        <v>76</v>
      </c>
      <c r="I537" s="1">
        <v>5.4784514243973702E-2</v>
      </c>
      <c r="J537" s="1">
        <v>0.39949475205626878</v>
      </c>
      <c r="K537" s="1">
        <v>641250</v>
      </c>
      <c r="L537" s="1">
        <v>1605152.5</v>
      </c>
      <c r="M537">
        <v>2480</v>
      </c>
      <c r="N537" s="6">
        <v>0</v>
      </c>
    </row>
    <row r="538" spans="1:14" x14ac:dyDescent="0.25">
      <c r="A538" s="8">
        <v>190</v>
      </c>
      <c r="B538" s="8">
        <v>190</v>
      </c>
      <c r="C538" s="8">
        <v>2.5</v>
      </c>
      <c r="D538" s="8">
        <v>570</v>
      </c>
      <c r="E538" s="8">
        <v>342</v>
      </c>
      <c r="F538" s="1">
        <v>46.9</v>
      </c>
      <c r="G538" s="1">
        <f t="shared" si="20"/>
        <v>3</v>
      </c>
      <c r="H538" s="1">
        <f t="shared" si="21"/>
        <v>76</v>
      </c>
      <c r="I538" s="1">
        <v>5.4784514243973702E-2</v>
      </c>
      <c r="J538" s="1">
        <v>0.39949475205626878</v>
      </c>
      <c r="K538" s="1">
        <v>641250</v>
      </c>
      <c r="L538" s="1">
        <v>1605152.5</v>
      </c>
      <c r="M538">
        <v>2430</v>
      </c>
      <c r="N538" s="6">
        <v>0</v>
      </c>
    </row>
    <row r="539" spans="1:14" x14ac:dyDescent="0.25">
      <c r="A539" s="8">
        <v>250</v>
      </c>
      <c r="B539" s="8">
        <v>250</v>
      </c>
      <c r="C539" s="8">
        <v>2.5</v>
      </c>
      <c r="D539" s="8">
        <v>750</v>
      </c>
      <c r="E539" s="8">
        <v>270</v>
      </c>
      <c r="F539" s="1">
        <v>40.809999999999995</v>
      </c>
      <c r="G539" s="1">
        <f t="shared" si="20"/>
        <v>3</v>
      </c>
      <c r="H539" s="1">
        <f t="shared" si="21"/>
        <v>100</v>
      </c>
      <c r="I539" s="1">
        <v>4.1232819658475632E-2</v>
      </c>
      <c r="J539" s="1">
        <v>0.27279738563558992</v>
      </c>
      <c r="K539" s="1">
        <v>668250</v>
      </c>
      <c r="L539" s="1">
        <v>2449620.2499999995</v>
      </c>
      <c r="M539">
        <v>3495</v>
      </c>
      <c r="N539" s="6">
        <v>0</v>
      </c>
    </row>
    <row r="540" spans="1:14" x14ac:dyDescent="0.25">
      <c r="A540" s="8">
        <v>190</v>
      </c>
      <c r="B540" s="8">
        <v>190</v>
      </c>
      <c r="C540" s="8">
        <v>2.5</v>
      </c>
      <c r="D540" s="8">
        <v>570</v>
      </c>
      <c r="E540" s="8">
        <v>270</v>
      </c>
      <c r="F540" s="1">
        <v>40.809999999999995</v>
      </c>
      <c r="G540" s="1">
        <f t="shared" si="20"/>
        <v>3</v>
      </c>
      <c r="H540" s="1">
        <f t="shared" si="21"/>
        <v>76</v>
      </c>
      <c r="I540" s="1">
        <v>5.4784514243973702E-2</v>
      </c>
      <c r="J540" s="1">
        <v>0.3624557423639525</v>
      </c>
      <c r="K540" s="1">
        <v>506250</v>
      </c>
      <c r="L540" s="1">
        <v>1396722.2499999998</v>
      </c>
      <c r="M540">
        <v>2140</v>
      </c>
      <c r="N540" s="6">
        <v>0</v>
      </c>
    </row>
    <row r="541" spans="1:14" x14ac:dyDescent="0.25">
      <c r="A541" s="8">
        <v>249</v>
      </c>
      <c r="B541" s="8">
        <v>250.4</v>
      </c>
      <c r="C541" s="8">
        <v>2.5</v>
      </c>
      <c r="D541" s="8">
        <v>750</v>
      </c>
      <c r="E541" s="8">
        <v>234.3</v>
      </c>
      <c r="F541" s="1">
        <v>43.837499999999999</v>
      </c>
      <c r="G541" s="1">
        <f t="shared" si="20"/>
        <v>3.0120481927710845</v>
      </c>
      <c r="H541" s="1">
        <f t="shared" si="21"/>
        <v>99.6</v>
      </c>
      <c r="I541" s="1">
        <v>4.1284219808409156E-2</v>
      </c>
      <c r="J541" s="1">
        <v>0.22065338354400374</v>
      </c>
      <c r="K541" s="1">
        <v>579189.6</v>
      </c>
      <c r="L541" s="1">
        <v>2624884.29</v>
      </c>
      <c r="M541">
        <v>3409</v>
      </c>
      <c r="N541" s="6">
        <v>0</v>
      </c>
    </row>
    <row r="542" spans="1:14" x14ac:dyDescent="0.25">
      <c r="A542" s="8">
        <v>128.19999999999999</v>
      </c>
      <c r="B542" s="8">
        <v>129.1</v>
      </c>
      <c r="C542" s="8">
        <v>2.5</v>
      </c>
      <c r="D542" s="8">
        <v>390</v>
      </c>
      <c r="E542" s="8">
        <v>234.3</v>
      </c>
      <c r="F542" s="1">
        <v>47.949999999999989</v>
      </c>
      <c r="G542" s="1">
        <f t="shared" si="20"/>
        <v>3.0421216848673951</v>
      </c>
      <c r="H542" s="1">
        <f t="shared" si="21"/>
        <v>51.279999999999994</v>
      </c>
      <c r="I542" s="1">
        <v>8.2509653923836163E-2</v>
      </c>
      <c r="J542" s="1">
        <v>0.40317021719196705</v>
      </c>
      <c r="K542" s="1">
        <v>295569.45000000042</v>
      </c>
      <c r="L542" s="1">
        <v>733113.30399999965</v>
      </c>
      <c r="M542">
        <v>1150</v>
      </c>
      <c r="N542" s="6">
        <v>0</v>
      </c>
    </row>
    <row r="543" spans="1:14" x14ac:dyDescent="0.25">
      <c r="A543" s="8">
        <v>150.30000000000001</v>
      </c>
      <c r="B543" s="8">
        <v>149.9</v>
      </c>
      <c r="C543" s="8">
        <v>1.98</v>
      </c>
      <c r="D543" s="8">
        <v>399.5</v>
      </c>
      <c r="E543" s="8">
        <v>413</v>
      </c>
      <c r="F543" s="1">
        <v>39.199999999999996</v>
      </c>
      <c r="G543" s="1">
        <f t="shared" si="20"/>
        <v>2.6580172987358615</v>
      </c>
      <c r="H543" s="1">
        <f t="shared" si="21"/>
        <v>75.909090909090921</v>
      </c>
      <c r="I543" s="1">
        <v>5.4928974670040036E-2</v>
      </c>
      <c r="J543" s="1">
        <v>0.57871598313077899</v>
      </c>
      <c r="K543" s="1">
        <v>484494.59520000056</v>
      </c>
      <c r="L543" s="1">
        <v>837188.89631999994</v>
      </c>
      <c r="M543">
        <v>2046</v>
      </c>
      <c r="N543" s="6">
        <v>0</v>
      </c>
    </row>
    <row r="544" spans="1:14" x14ac:dyDescent="0.25">
      <c r="A544" s="8">
        <v>150.1</v>
      </c>
      <c r="B544" s="8">
        <v>149.80000000000001</v>
      </c>
      <c r="C544" s="8">
        <v>2</v>
      </c>
      <c r="D544" s="8">
        <v>400.1</v>
      </c>
      <c r="E544" s="8">
        <v>413</v>
      </c>
      <c r="F544" s="1">
        <v>39.199999999999996</v>
      </c>
      <c r="G544" s="1">
        <f t="shared" si="20"/>
        <v>2.6655562958027983</v>
      </c>
      <c r="H544" s="1">
        <f t="shared" si="21"/>
        <v>75.05</v>
      </c>
      <c r="I544" s="1">
        <v>5.556447516545869E-2</v>
      </c>
      <c r="J544" s="1">
        <v>0.58541143477893987</v>
      </c>
      <c r="K544" s="1">
        <v>488826.79999999941</v>
      </c>
      <c r="L544" s="1">
        <v>835014.0959999999</v>
      </c>
      <c r="M544">
        <v>2200</v>
      </c>
      <c r="N544" s="6">
        <v>0</v>
      </c>
    </row>
    <row r="545" spans="1:14" x14ac:dyDescent="0.25">
      <c r="A545" s="8">
        <v>150.19999999999999</v>
      </c>
      <c r="B545" s="8">
        <v>150.19999999999999</v>
      </c>
      <c r="C545" s="8">
        <v>2.98</v>
      </c>
      <c r="D545" s="8">
        <v>401</v>
      </c>
      <c r="E545" s="8">
        <v>392</v>
      </c>
      <c r="F545" s="1">
        <v>39.199999999999996</v>
      </c>
      <c r="G545" s="1">
        <f t="shared" si="20"/>
        <v>2.6697736351531294</v>
      </c>
      <c r="H545" s="1">
        <f t="shared" si="21"/>
        <v>50.402684563758385</v>
      </c>
      <c r="I545" s="1">
        <v>8.4347388603883008E-2</v>
      </c>
      <c r="J545" s="1">
        <v>0.84347388603883022</v>
      </c>
      <c r="K545" s="1">
        <v>687906.06080000068</v>
      </c>
      <c r="L545" s="1">
        <v>815562.96191999968</v>
      </c>
      <c r="M545">
        <v>2360</v>
      </c>
      <c r="N545" s="6">
        <v>0</v>
      </c>
    </row>
    <row r="546" spans="1:14" x14ac:dyDescent="0.25">
      <c r="A546" s="8">
        <v>150.4</v>
      </c>
      <c r="B546" s="8">
        <v>150</v>
      </c>
      <c r="C546" s="8">
        <v>3</v>
      </c>
      <c r="D546" s="8">
        <v>400.6</v>
      </c>
      <c r="E546" s="8">
        <v>392</v>
      </c>
      <c r="F546" s="1">
        <v>39.199999999999996</v>
      </c>
      <c r="G546" s="1">
        <f t="shared" si="20"/>
        <v>2.6635638297872339</v>
      </c>
      <c r="H546" s="1">
        <f t="shared" si="21"/>
        <v>50.133333333333333</v>
      </c>
      <c r="I546" s="1">
        <v>8.4949215143120843E-2</v>
      </c>
      <c r="J546" s="1">
        <v>0.84949215143120849</v>
      </c>
      <c r="K546" s="1">
        <v>692428.79999999912</v>
      </c>
      <c r="L546" s="1">
        <v>815109.12</v>
      </c>
      <c r="M546">
        <v>2300</v>
      </c>
      <c r="N546" s="6">
        <v>0</v>
      </c>
    </row>
    <row r="547" spans="1:14" x14ac:dyDescent="0.25">
      <c r="A547" s="8">
        <v>200.3</v>
      </c>
      <c r="B547" s="8">
        <v>100.5</v>
      </c>
      <c r="C547" s="8">
        <v>1.98</v>
      </c>
      <c r="D547" s="8">
        <v>400</v>
      </c>
      <c r="E547" s="8">
        <v>413</v>
      </c>
      <c r="F547" s="1">
        <v>39.199999999999996</v>
      </c>
      <c r="G547" s="1">
        <f t="shared" si="20"/>
        <v>1.9970044932601096</v>
      </c>
      <c r="H547" s="1">
        <f t="shared" si="21"/>
        <v>101.16161616161617</v>
      </c>
      <c r="I547" s="1">
        <v>6.2015682515199143E-2</v>
      </c>
      <c r="J547" s="1">
        <v>0.65337951221370527</v>
      </c>
      <c r="K547" s="1">
        <v>485475.88320000068</v>
      </c>
      <c r="L547" s="1">
        <v>743022.81311999995</v>
      </c>
      <c r="M547">
        <v>1980</v>
      </c>
      <c r="N547" s="6">
        <v>0</v>
      </c>
    </row>
    <row r="548" spans="1:14" x14ac:dyDescent="0.25">
      <c r="A548" s="8">
        <v>200.5</v>
      </c>
      <c r="B548" s="8">
        <v>100.5</v>
      </c>
      <c r="C548" s="8">
        <v>2.97</v>
      </c>
      <c r="D548" s="8">
        <v>402</v>
      </c>
      <c r="E548" s="8">
        <v>392</v>
      </c>
      <c r="F548" s="1">
        <v>39.199999999999996</v>
      </c>
      <c r="G548" s="1">
        <f t="shared" si="20"/>
        <v>2.0049875311720697</v>
      </c>
      <c r="H548" s="1">
        <f t="shared" si="21"/>
        <v>67.508417508417509</v>
      </c>
      <c r="I548" s="1">
        <v>9.5265524291176851E-2</v>
      </c>
      <c r="J548" s="1">
        <v>0.95265524291176862</v>
      </c>
      <c r="K548" s="1">
        <v>687041.3088</v>
      </c>
      <c r="L548" s="1">
        <v>721185.66911999998</v>
      </c>
      <c r="M548">
        <v>2160</v>
      </c>
      <c r="N548" s="6">
        <v>0</v>
      </c>
    </row>
    <row r="549" spans="1:14" x14ac:dyDescent="0.25">
      <c r="A549" s="8">
        <v>300</v>
      </c>
      <c r="B549" s="8">
        <v>300</v>
      </c>
      <c r="C549" s="8">
        <v>6</v>
      </c>
      <c r="D549" s="8">
        <v>1050</v>
      </c>
      <c r="E549" s="8">
        <v>414</v>
      </c>
      <c r="F549" s="14">
        <v>10</v>
      </c>
      <c r="G549" s="1">
        <f t="shared" si="20"/>
        <v>3.5</v>
      </c>
      <c r="H549" s="1">
        <f t="shared" si="21"/>
        <v>50</v>
      </c>
      <c r="I549" s="1">
        <v>8.5069444444444448E-2</v>
      </c>
      <c r="J549" s="1">
        <v>3.5218750000000001</v>
      </c>
      <c r="K549" s="1">
        <v>2921184</v>
      </c>
      <c r="L549" s="1">
        <v>829440</v>
      </c>
      <c r="M549">
        <v>3428</v>
      </c>
      <c r="N549" s="6">
        <v>0</v>
      </c>
    </row>
    <row r="550" spans="1:14" x14ac:dyDescent="0.25">
      <c r="A550" s="8">
        <v>400</v>
      </c>
      <c r="B550" s="8">
        <v>400</v>
      </c>
      <c r="C550" s="8">
        <v>6</v>
      </c>
      <c r="D550" s="8">
        <v>1400</v>
      </c>
      <c r="E550" s="8">
        <v>414</v>
      </c>
      <c r="F550" s="14">
        <v>10</v>
      </c>
      <c r="G550" s="1">
        <f t="shared" si="20"/>
        <v>3.5</v>
      </c>
      <c r="H550" s="1">
        <f t="shared" si="21"/>
        <v>66.666666666666671</v>
      </c>
      <c r="I550" s="1">
        <v>6.2812201084068445E-2</v>
      </c>
      <c r="J550" s="1">
        <v>2.6004251248804335</v>
      </c>
      <c r="K550" s="1">
        <v>3914784</v>
      </c>
      <c r="L550" s="1">
        <v>1505440</v>
      </c>
      <c r="M550">
        <v>4452</v>
      </c>
      <c r="N550" s="6">
        <v>0</v>
      </c>
    </row>
    <row r="551" spans="1:14" x14ac:dyDescent="0.25">
      <c r="A551" s="8">
        <v>300</v>
      </c>
      <c r="B551" s="8">
        <v>300</v>
      </c>
      <c r="C551" s="8">
        <v>6</v>
      </c>
      <c r="D551" s="8">
        <v>1050</v>
      </c>
      <c r="E551" s="8">
        <v>369</v>
      </c>
      <c r="F551" s="14">
        <v>40</v>
      </c>
      <c r="G551" s="1">
        <f t="shared" si="20"/>
        <v>3.5</v>
      </c>
      <c r="H551" s="1">
        <f t="shared" si="21"/>
        <v>50</v>
      </c>
      <c r="I551" s="1">
        <v>8.5069444444444448E-2</v>
      </c>
      <c r="J551" s="1">
        <v>0.78476562500000002</v>
      </c>
      <c r="K551" s="1">
        <v>2603664</v>
      </c>
      <c r="L551" s="1">
        <v>3317760</v>
      </c>
      <c r="M551">
        <v>6298</v>
      </c>
      <c r="N551" s="6">
        <v>0</v>
      </c>
    </row>
    <row r="552" spans="1:14" x14ac:dyDescent="0.25">
      <c r="A552" s="8">
        <v>400</v>
      </c>
      <c r="B552" s="8">
        <v>400</v>
      </c>
      <c r="C552" s="8">
        <v>6</v>
      </c>
      <c r="D552" s="8">
        <v>1400</v>
      </c>
      <c r="E552" s="8">
        <v>369</v>
      </c>
      <c r="F552" s="14">
        <v>40</v>
      </c>
      <c r="G552" s="1">
        <f t="shared" si="20"/>
        <v>3.5</v>
      </c>
      <c r="H552" s="1">
        <f t="shared" si="21"/>
        <v>66.666666666666671</v>
      </c>
      <c r="I552" s="1">
        <v>6.2812201084068445E-2</v>
      </c>
      <c r="J552" s="1">
        <v>0.57944255500053143</v>
      </c>
      <c r="K552" s="1">
        <v>3489264</v>
      </c>
      <c r="L552" s="1">
        <v>6021760</v>
      </c>
      <c r="M552">
        <v>8802</v>
      </c>
      <c r="N552" s="6">
        <v>0</v>
      </c>
    </row>
    <row r="553" spans="1:14" x14ac:dyDescent="0.25">
      <c r="A553" s="8">
        <v>60</v>
      </c>
      <c r="B553" s="8">
        <v>60</v>
      </c>
      <c r="C553" s="8">
        <v>1.87</v>
      </c>
      <c r="D553" s="8">
        <v>180</v>
      </c>
      <c r="E553" s="8">
        <v>282</v>
      </c>
      <c r="F553" s="1">
        <v>56.699999999999996</v>
      </c>
      <c r="G553" s="1">
        <f t="shared" si="20"/>
        <v>3</v>
      </c>
      <c r="H553" s="1">
        <f t="shared" si="21"/>
        <v>32.085561497326204</v>
      </c>
      <c r="I553" s="1">
        <v>0.13737334242052518</v>
      </c>
      <c r="J553" s="1">
        <v>0.68323249669467556</v>
      </c>
      <c r="K553" s="1">
        <v>122617.09680000007</v>
      </c>
      <c r="L553" s="1">
        <v>179466.13691999996</v>
      </c>
      <c r="M553">
        <v>382</v>
      </c>
      <c r="N553" s="6">
        <v>0</v>
      </c>
    </row>
    <row r="554" spans="1:14" x14ac:dyDescent="0.25">
      <c r="A554" s="8">
        <v>60</v>
      </c>
      <c r="B554" s="8">
        <v>60</v>
      </c>
      <c r="C554" s="8">
        <v>1.87</v>
      </c>
      <c r="D554" s="8">
        <v>180</v>
      </c>
      <c r="E554" s="8">
        <v>282</v>
      </c>
      <c r="F554" s="1">
        <v>56.699999999999996</v>
      </c>
      <c r="G554" s="1">
        <f t="shared" si="20"/>
        <v>3</v>
      </c>
      <c r="H554" s="1">
        <f t="shared" si="21"/>
        <v>32.085561497326204</v>
      </c>
      <c r="I554" s="1">
        <v>0.13737334242052518</v>
      </c>
      <c r="J554" s="1">
        <v>0.68323249669467556</v>
      </c>
      <c r="K554" s="1">
        <v>122617.09680000007</v>
      </c>
      <c r="L554" s="1">
        <v>179466.13691999996</v>
      </c>
      <c r="M554">
        <v>350</v>
      </c>
      <c r="N554" s="6">
        <v>0</v>
      </c>
    </row>
    <row r="555" spans="1:14" x14ac:dyDescent="0.25">
      <c r="A555" s="8">
        <v>100</v>
      </c>
      <c r="B555" s="8">
        <v>100</v>
      </c>
      <c r="C555" s="8">
        <v>1.87</v>
      </c>
      <c r="D555" s="8">
        <v>300</v>
      </c>
      <c r="E555" s="8">
        <v>282</v>
      </c>
      <c r="F555" s="1">
        <v>56.699999999999996</v>
      </c>
      <c r="G555" s="1">
        <f t="shared" si="20"/>
        <v>3</v>
      </c>
      <c r="H555" s="1">
        <f t="shared" si="21"/>
        <v>53.475935828876999</v>
      </c>
      <c r="I555" s="1">
        <v>7.9215776200693339E-2</v>
      </c>
      <c r="J555" s="1">
        <v>0.39398322554842197</v>
      </c>
      <c r="K555" s="1">
        <v>206991.49679999991</v>
      </c>
      <c r="L555" s="1">
        <v>525381.49691999995</v>
      </c>
      <c r="M555">
        <v>860</v>
      </c>
      <c r="N555" s="6">
        <v>0</v>
      </c>
    </row>
    <row r="556" spans="1:14" x14ac:dyDescent="0.25">
      <c r="A556" s="8">
        <v>100</v>
      </c>
      <c r="B556" s="8">
        <v>100</v>
      </c>
      <c r="C556" s="8">
        <v>1.87</v>
      </c>
      <c r="D556" s="8">
        <v>300</v>
      </c>
      <c r="E556" s="8">
        <v>282</v>
      </c>
      <c r="F556" s="1">
        <v>56.699999999999996</v>
      </c>
      <c r="G556" s="1">
        <f t="shared" si="20"/>
        <v>3</v>
      </c>
      <c r="H556" s="1">
        <f t="shared" si="21"/>
        <v>53.475935828876999</v>
      </c>
      <c r="I556" s="1">
        <v>7.9215776200693339E-2</v>
      </c>
      <c r="J556" s="1">
        <v>0.39398322554842197</v>
      </c>
      <c r="K556" s="1">
        <v>206991.49679999991</v>
      </c>
      <c r="L556" s="1">
        <v>525381.49691999995</v>
      </c>
      <c r="M556">
        <v>840</v>
      </c>
      <c r="N556" s="6">
        <v>0</v>
      </c>
    </row>
    <row r="557" spans="1:14" x14ac:dyDescent="0.25">
      <c r="A557" s="8">
        <v>150</v>
      </c>
      <c r="B557" s="8">
        <v>150</v>
      </c>
      <c r="C557" s="8">
        <v>1.87</v>
      </c>
      <c r="D557" s="8">
        <v>450</v>
      </c>
      <c r="E557" s="8">
        <v>282</v>
      </c>
      <c r="F557" s="1">
        <v>56.699999999999996</v>
      </c>
      <c r="G557" s="1">
        <f t="shared" si="20"/>
        <v>3</v>
      </c>
      <c r="H557" s="1">
        <f t="shared" si="21"/>
        <v>80.213903743315498</v>
      </c>
      <c r="I557" s="1">
        <v>5.1795673254784583E-2</v>
      </c>
      <c r="J557" s="1">
        <v>0.25760811036771164</v>
      </c>
      <c r="K557" s="1">
        <v>312459.4968000009</v>
      </c>
      <c r="L557" s="1">
        <v>1212925.6969199998</v>
      </c>
      <c r="M557">
        <v>1662</v>
      </c>
      <c r="N557" s="6">
        <v>0</v>
      </c>
    </row>
    <row r="558" spans="1:14" x14ac:dyDescent="0.25">
      <c r="A558" s="8">
        <v>150</v>
      </c>
      <c r="B558" s="8">
        <v>150</v>
      </c>
      <c r="C558" s="8">
        <v>1.87</v>
      </c>
      <c r="D558" s="8">
        <v>450</v>
      </c>
      <c r="E558" s="8">
        <v>282</v>
      </c>
      <c r="F558" s="1">
        <v>56.699999999999996</v>
      </c>
      <c r="G558" s="1">
        <f t="shared" si="20"/>
        <v>3</v>
      </c>
      <c r="H558" s="1">
        <f t="shared" si="21"/>
        <v>80.213903743315498</v>
      </c>
      <c r="I558" s="1">
        <v>5.1795673254784583E-2</v>
      </c>
      <c r="J558" s="1">
        <v>0.25760811036771164</v>
      </c>
      <c r="K558" s="1">
        <v>312459.4968000009</v>
      </c>
      <c r="L558" s="1">
        <v>1212925.6969199998</v>
      </c>
      <c r="M558">
        <v>1740</v>
      </c>
      <c r="N558" s="6">
        <v>0</v>
      </c>
    </row>
    <row r="559" spans="1:14" x14ac:dyDescent="0.25">
      <c r="A559" s="8">
        <v>200</v>
      </c>
      <c r="B559" s="8">
        <v>200</v>
      </c>
      <c r="C559" s="8">
        <v>1.87</v>
      </c>
      <c r="D559" s="8">
        <v>600</v>
      </c>
      <c r="E559" s="8">
        <v>282</v>
      </c>
      <c r="F559" s="1">
        <v>56.699999999999996</v>
      </c>
      <c r="G559" s="1">
        <f t="shared" si="20"/>
        <v>3</v>
      </c>
      <c r="H559" s="1">
        <f t="shared" si="21"/>
        <v>106.951871657754</v>
      </c>
      <c r="I559" s="1">
        <v>3.8475852253506804E-2</v>
      </c>
      <c r="J559" s="1">
        <v>0.19136138157828783</v>
      </c>
      <c r="K559" s="1">
        <v>417927.49680000194</v>
      </c>
      <c r="L559" s="1">
        <v>2183969.8969199993</v>
      </c>
      <c r="M559">
        <v>2890</v>
      </c>
      <c r="N559" s="6">
        <v>0</v>
      </c>
    </row>
    <row r="560" spans="1:14" x14ac:dyDescent="0.25">
      <c r="A560" s="8">
        <v>200</v>
      </c>
      <c r="B560" s="8">
        <v>200</v>
      </c>
      <c r="C560" s="8">
        <v>1.87</v>
      </c>
      <c r="D560" s="8">
        <v>600</v>
      </c>
      <c r="E560" s="8">
        <v>282</v>
      </c>
      <c r="F560" s="1">
        <v>56.699999999999996</v>
      </c>
      <c r="G560" s="1">
        <f t="shared" si="20"/>
        <v>3</v>
      </c>
      <c r="H560" s="1">
        <f t="shared" si="21"/>
        <v>106.951871657754</v>
      </c>
      <c r="I560" s="1">
        <v>3.8475852253506804E-2</v>
      </c>
      <c r="J560" s="1">
        <v>0.19136138157828783</v>
      </c>
      <c r="K560" s="1">
        <v>417927.49680000194</v>
      </c>
      <c r="L560" s="1">
        <v>2183969.8969199993</v>
      </c>
      <c r="M560">
        <v>2920</v>
      </c>
      <c r="N560" s="6">
        <v>0</v>
      </c>
    </row>
    <row r="561" spans="1:14" x14ac:dyDescent="0.25">
      <c r="A561" s="8">
        <v>250</v>
      </c>
      <c r="B561" s="8">
        <v>250</v>
      </c>
      <c r="C561" s="8">
        <v>1.87</v>
      </c>
      <c r="D561" s="8">
        <v>750</v>
      </c>
      <c r="E561" s="8">
        <v>282</v>
      </c>
      <c r="F561" s="1">
        <v>42</v>
      </c>
      <c r="G561" s="1">
        <f t="shared" si="20"/>
        <v>3</v>
      </c>
      <c r="H561" s="1">
        <f t="shared" si="21"/>
        <v>133.68983957219251</v>
      </c>
      <c r="I561" s="1">
        <v>3.0605052099179689E-2</v>
      </c>
      <c r="J561" s="1">
        <v>0.20549106409449219</v>
      </c>
      <c r="K561" s="1">
        <v>523395.49680000194</v>
      </c>
      <c r="L561" s="1">
        <v>2547047.4791999999</v>
      </c>
      <c r="M561">
        <v>3304</v>
      </c>
      <c r="N561" s="6">
        <v>0</v>
      </c>
    </row>
    <row r="562" spans="1:14" x14ac:dyDescent="0.25">
      <c r="A562" s="8">
        <v>250</v>
      </c>
      <c r="B562" s="8">
        <v>250</v>
      </c>
      <c r="C562" s="8">
        <v>1.87</v>
      </c>
      <c r="D562" s="8">
        <v>750</v>
      </c>
      <c r="E562" s="8">
        <v>282</v>
      </c>
      <c r="F562" s="1">
        <v>42</v>
      </c>
      <c r="G562" s="1">
        <f t="shared" si="20"/>
        <v>3</v>
      </c>
      <c r="H562" s="1">
        <f t="shared" si="21"/>
        <v>133.68983957219251</v>
      </c>
      <c r="I562" s="1">
        <v>3.0605052099179689E-2</v>
      </c>
      <c r="J562" s="1">
        <v>0.20549106409449219</v>
      </c>
      <c r="K562" s="1">
        <v>523395.49680000194</v>
      </c>
      <c r="L562" s="1">
        <v>2547047.4791999999</v>
      </c>
      <c r="M562">
        <v>3400</v>
      </c>
      <c r="N562" s="6">
        <v>0</v>
      </c>
    </row>
    <row r="563" spans="1:14" x14ac:dyDescent="0.25">
      <c r="A563" s="8">
        <v>60</v>
      </c>
      <c r="B563" s="8">
        <v>60</v>
      </c>
      <c r="C563" s="8">
        <v>2</v>
      </c>
      <c r="D563" s="8">
        <v>180</v>
      </c>
      <c r="E563" s="8">
        <v>404</v>
      </c>
      <c r="F563" s="1">
        <v>35.629999999999995</v>
      </c>
      <c r="G563" s="1">
        <f t="shared" si="20"/>
        <v>3</v>
      </c>
      <c r="H563" s="1">
        <f t="shared" si="21"/>
        <v>30</v>
      </c>
      <c r="I563" s="1">
        <v>0.14795918367346939</v>
      </c>
      <c r="J563" s="1">
        <v>1.6776735953994284</v>
      </c>
      <c r="K563" s="1">
        <v>187456</v>
      </c>
      <c r="L563" s="1">
        <v>111735.67999999999</v>
      </c>
      <c r="M563">
        <v>318</v>
      </c>
      <c r="N563" s="6">
        <v>0</v>
      </c>
    </row>
    <row r="564" spans="1:14" x14ac:dyDescent="0.25">
      <c r="A564" s="8">
        <v>60</v>
      </c>
      <c r="B564" s="8">
        <v>60</v>
      </c>
      <c r="C564" s="8">
        <v>2</v>
      </c>
      <c r="D564" s="8">
        <v>180</v>
      </c>
      <c r="E564" s="8">
        <v>404</v>
      </c>
      <c r="F564" s="1">
        <v>35.629999999999995</v>
      </c>
      <c r="G564" s="1">
        <f t="shared" si="20"/>
        <v>3</v>
      </c>
      <c r="H564" s="1">
        <f t="shared" si="21"/>
        <v>30</v>
      </c>
      <c r="I564" s="1">
        <v>0.14795918367346939</v>
      </c>
      <c r="J564" s="1">
        <v>1.6776735953994284</v>
      </c>
      <c r="K564" s="1">
        <v>187456</v>
      </c>
      <c r="L564" s="1">
        <v>111735.67999999999</v>
      </c>
      <c r="M564">
        <v>322</v>
      </c>
      <c r="N564" s="6">
        <v>0</v>
      </c>
    </row>
    <row r="565" spans="1:14" x14ac:dyDescent="0.25">
      <c r="A565" s="8">
        <v>100</v>
      </c>
      <c r="B565" s="8">
        <v>100</v>
      </c>
      <c r="C565" s="8">
        <v>2</v>
      </c>
      <c r="D565" s="8">
        <v>300</v>
      </c>
      <c r="E565" s="8">
        <v>404</v>
      </c>
      <c r="F565" s="1">
        <v>35.629999999999995</v>
      </c>
      <c r="G565" s="1">
        <f t="shared" si="20"/>
        <v>3</v>
      </c>
      <c r="H565" s="1">
        <f t="shared" si="21"/>
        <v>50</v>
      </c>
      <c r="I565" s="1">
        <v>8.5069444444444448E-2</v>
      </c>
      <c r="J565" s="1">
        <v>0.96458196900240134</v>
      </c>
      <c r="K565" s="1">
        <v>316736</v>
      </c>
      <c r="L565" s="1">
        <v>328366.07999999996</v>
      </c>
      <c r="M565">
        <v>770</v>
      </c>
      <c r="N565" s="6">
        <v>0</v>
      </c>
    </row>
    <row r="566" spans="1:14" x14ac:dyDescent="0.25">
      <c r="A566" s="8">
        <v>100</v>
      </c>
      <c r="B566" s="8">
        <v>100</v>
      </c>
      <c r="C566" s="8">
        <v>2</v>
      </c>
      <c r="D566" s="8">
        <v>300</v>
      </c>
      <c r="E566" s="8">
        <v>404</v>
      </c>
      <c r="F566" s="1">
        <v>35.629999999999995</v>
      </c>
      <c r="G566" s="1">
        <f t="shared" si="20"/>
        <v>3</v>
      </c>
      <c r="H566" s="1">
        <f t="shared" si="21"/>
        <v>50</v>
      </c>
      <c r="I566" s="1">
        <v>8.5069444444444448E-2</v>
      </c>
      <c r="J566" s="1">
        <v>0.96458196900240134</v>
      </c>
      <c r="K566" s="1">
        <v>316736</v>
      </c>
      <c r="L566" s="1">
        <v>328366.07999999996</v>
      </c>
      <c r="M566">
        <v>772</v>
      </c>
      <c r="N566" s="6">
        <v>0</v>
      </c>
    </row>
    <row r="567" spans="1:14" x14ac:dyDescent="0.25">
      <c r="A567" s="8">
        <v>150</v>
      </c>
      <c r="B567" s="8">
        <v>150</v>
      </c>
      <c r="C567" s="8">
        <v>2</v>
      </c>
      <c r="D567" s="8">
        <v>450</v>
      </c>
      <c r="E567" s="8">
        <v>404</v>
      </c>
      <c r="F567" s="1">
        <v>35.629999999999995</v>
      </c>
      <c r="G567" s="1">
        <f t="shared" si="20"/>
        <v>3</v>
      </c>
      <c r="H567" s="1">
        <f t="shared" si="21"/>
        <v>75</v>
      </c>
      <c r="I567" s="1">
        <v>5.5545130418465004E-2</v>
      </c>
      <c r="J567" s="1">
        <v>0.6298128736755505</v>
      </c>
      <c r="K567" s="1">
        <v>478336</v>
      </c>
      <c r="L567" s="1">
        <v>759489.08</v>
      </c>
      <c r="M567">
        <v>1300</v>
      </c>
      <c r="N567" s="6">
        <v>0</v>
      </c>
    </row>
    <row r="568" spans="1:14" x14ac:dyDescent="0.25">
      <c r="A568" s="8">
        <v>150</v>
      </c>
      <c r="B568" s="8">
        <v>150</v>
      </c>
      <c r="C568" s="8">
        <v>2</v>
      </c>
      <c r="D568" s="8">
        <v>450</v>
      </c>
      <c r="E568" s="8">
        <v>404</v>
      </c>
      <c r="F568" s="1">
        <v>35.629999999999995</v>
      </c>
      <c r="G568" s="1">
        <f t="shared" si="20"/>
        <v>3</v>
      </c>
      <c r="H568" s="1">
        <f t="shared" si="21"/>
        <v>75</v>
      </c>
      <c r="I568" s="1">
        <v>5.5545130418465004E-2</v>
      </c>
      <c r="J568" s="1">
        <v>0.6298128736755505</v>
      </c>
      <c r="K568" s="1">
        <v>478336</v>
      </c>
      <c r="L568" s="1">
        <v>759489.08</v>
      </c>
      <c r="M568">
        <v>1420</v>
      </c>
      <c r="N568" s="6">
        <v>0</v>
      </c>
    </row>
    <row r="569" spans="1:14" x14ac:dyDescent="0.25">
      <c r="A569" s="8">
        <v>200</v>
      </c>
      <c r="B569" s="8">
        <v>200</v>
      </c>
      <c r="C569" s="8">
        <v>2</v>
      </c>
      <c r="D569" s="8">
        <v>600</v>
      </c>
      <c r="E569" s="8">
        <v>404</v>
      </c>
      <c r="F569" s="1">
        <v>35.629999999999995</v>
      </c>
      <c r="G569" s="1">
        <f t="shared" si="20"/>
        <v>3</v>
      </c>
      <c r="H569" s="1">
        <f t="shared" si="21"/>
        <v>100</v>
      </c>
      <c r="I569" s="1">
        <v>4.1232819658475632E-2</v>
      </c>
      <c r="J569" s="1">
        <v>0.46752902447443612</v>
      </c>
      <c r="K569" s="1">
        <v>639936</v>
      </c>
      <c r="L569" s="1">
        <v>1368762.0799999998</v>
      </c>
      <c r="M569">
        <v>1990</v>
      </c>
      <c r="N569" s="6">
        <v>0</v>
      </c>
    </row>
    <row r="570" spans="1:14" x14ac:dyDescent="0.25">
      <c r="A570" s="8">
        <v>200</v>
      </c>
      <c r="B570" s="8">
        <v>200</v>
      </c>
      <c r="C570" s="8">
        <v>2</v>
      </c>
      <c r="D570" s="8">
        <v>600</v>
      </c>
      <c r="E570" s="8">
        <v>404</v>
      </c>
      <c r="F570" s="1">
        <v>35.629999999999995</v>
      </c>
      <c r="G570" s="1">
        <f t="shared" si="20"/>
        <v>3</v>
      </c>
      <c r="H570" s="1">
        <f t="shared" si="21"/>
        <v>100</v>
      </c>
      <c r="I570" s="1">
        <v>4.1232819658475632E-2</v>
      </c>
      <c r="J570" s="1">
        <v>0.46752902447443612</v>
      </c>
      <c r="K570" s="1">
        <v>639936</v>
      </c>
      <c r="L570" s="1">
        <v>1368762.0799999998</v>
      </c>
      <c r="M570">
        <v>2054</v>
      </c>
      <c r="N570" s="6">
        <v>0</v>
      </c>
    </row>
    <row r="571" spans="1:14" x14ac:dyDescent="0.25">
      <c r="A571" s="8">
        <v>250</v>
      </c>
      <c r="B571" s="8">
        <v>250</v>
      </c>
      <c r="C571" s="8">
        <v>2</v>
      </c>
      <c r="D571" s="8">
        <v>750</v>
      </c>
      <c r="E571" s="8">
        <v>404</v>
      </c>
      <c r="F571" s="1">
        <v>35.629999999999995</v>
      </c>
      <c r="G571" s="1">
        <f t="shared" si="20"/>
        <v>3</v>
      </c>
      <c r="H571" s="1">
        <f t="shared" si="21"/>
        <v>125</v>
      </c>
      <c r="I571" s="1">
        <v>3.2784718091083347E-2</v>
      </c>
      <c r="J571" s="1">
        <v>0.37173803280375178</v>
      </c>
      <c r="K571" s="1">
        <v>801536</v>
      </c>
      <c r="L571" s="1">
        <v>2156185.0799999996</v>
      </c>
      <c r="M571">
        <v>3100</v>
      </c>
      <c r="N571" s="6">
        <v>0</v>
      </c>
    </row>
    <row r="572" spans="1:14" x14ac:dyDescent="0.25">
      <c r="A572" s="8">
        <v>250</v>
      </c>
      <c r="B572" s="8">
        <v>250</v>
      </c>
      <c r="C572" s="8">
        <v>2</v>
      </c>
      <c r="D572" s="8">
        <v>750</v>
      </c>
      <c r="E572" s="8">
        <v>404</v>
      </c>
      <c r="F572" s="1">
        <v>35.629999999999995</v>
      </c>
      <c r="G572" s="1">
        <f t="shared" si="20"/>
        <v>3</v>
      </c>
      <c r="H572" s="1">
        <f t="shared" si="21"/>
        <v>125</v>
      </c>
      <c r="I572" s="1">
        <v>3.2784718091083347E-2</v>
      </c>
      <c r="J572" s="1">
        <v>0.37173803280375178</v>
      </c>
      <c r="K572" s="1">
        <v>801536</v>
      </c>
      <c r="L572" s="1">
        <v>2156185.0799999996</v>
      </c>
      <c r="M572">
        <v>2965</v>
      </c>
      <c r="N572" s="6">
        <v>0</v>
      </c>
    </row>
    <row r="573" spans="1:14" x14ac:dyDescent="0.25">
      <c r="A573" s="8">
        <v>60</v>
      </c>
      <c r="B573" s="8">
        <v>60</v>
      </c>
      <c r="C573" s="8">
        <v>2</v>
      </c>
      <c r="D573" s="8">
        <v>180</v>
      </c>
      <c r="E573" s="8">
        <v>404</v>
      </c>
      <c r="F573" s="1">
        <v>56.699999999999996</v>
      </c>
      <c r="G573" s="1">
        <f t="shared" si="20"/>
        <v>3</v>
      </c>
      <c r="H573" s="1">
        <f t="shared" si="21"/>
        <v>30</v>
      </c>
      <c r="I573" s="1">
        <v>0.14795918367346939</v>
      </c>
      <c r="J573" s="1">
        <v>1.0542418025411224</v>
      </c>
      <c r="K573" s="1">
        <v>187456</v>
      </c>
      <c r="L573" s="1">
        <v>177811.19999999998</v>
      </c>
      <c r="M573">
        <v>422</v>
      </c>
      <c r="N573" s="6">
        <v>0</v>
      </c>
    </row>
    <row r="574" spans="1:14" x14ac:dyDescent="0.25">
      <c r="A574" s="8">
        <v>60</v>
      </c>
      <c r="B574" s="8">
        <v>60</v>
      </c>
      <c r="C574" s="8">
        <v>2</v>
      </c>
      <c r="D574" s="8">
        <v>180</v>
      </c>
      <c r="E574" s="8">
        <v>404</v>
      </c>
      <c r="F574" s="1">
        <v>56.699999999999996</v>
      </c>
      <c r="G574" s="1">
        <f t="shared" si="20"/>
        <v>3</v>
      </c>
      <c r="H574" s="1">
        <f t="shared" si="21"/>
        <v>30</v>
      </c>
      <c r="I574" s="1">
        <v>0.14795918367346939</v>
      </c>
      <c r="J574" s="1">
        <v>1.0542418025411224</v>
      </c>
      <c r="K574" s="1">
        <v>187456</v>
      </c>
      <c r="L574" s="1">
        <v>177811.19999999998</v>
      </c>
      <c r="M574">
        <v>406</v>
      </c>
      <c r="N574" s="6">
        <v>0</v>
      </c>
    </row>
    <row r="575" spans="1:14" x14ac:dyDescent="0.25">
      <c r="A575" s="8">
        <v>150</v>
      </c>
      <c r="B575" s="8">
        <v>150</v>
      </c>
      <c r="C575" s="8">
        <v>2</v>
      </c>
      <c r="D575" s="8">
        <v>450</v>
      </c>
      <c r="E575" s="8">
        <v>404</v>
      </c>
      <c r="F575" s="1">
        <v>56.699999999999996</v>
      </c>
      <c r="G575" s="1">
        <f t="shared" si="20"/>
        <v>3</v>
      </c>
      <c r="H575" s="1">
        <f t="shared" si="21"/>
        <v>75</v>
      </c>
      <c r="I575" s="1">
        <v>5.5545130418465004E-2</v>
      </c>
      <c r="J575" s="1">
        <v>0.39577129963068541</v>
      </c>
      <c r="K575" s="1">
        <v>478336</v>
      </c>
      <c r="L575" s="1">
        <v>1208617.2</v>
      </c>
      <c r="M575">
        <v>2060</v>
      </c>
      <c r="N575" s="6">
        <v>0</v>
      </c>
    </row>
    <row r="576" spans="1:14" x14ac:dyDescent="0.25">
      <c r="A576" s="8">
        <v>150</v>
      </c>
      <c r="B576" s="8">
        <v>150</v>
      </c>
      <c r="C576" s="8">
        <v>2</v>
      </c>
      <c r="D576" s="8">
        <v>450</v>
      </c>
      <c r="E576" s="8">
        <v>404</v>
      </c>
      <c r="F576" s="1">
        <v>56.699999999999996</v>
      </c>
      <c r="G576" s="1">
        <f t="shared" si="20"/>
        <v>3</v>
      </c>
      <c r="H576" s="1">
        <f t="shared" si="21"/>
        <v>75</v>
      </c>
      <c r="I576" s="1">
        <v>5.5545130418465004E-2</v>
      </c>
      <c r="J576" s="1">
        <v>0.39577129963068541</v>
      </c>
      <c r="K576" s="1">
        <v>478336</v>
      </c>
      <c r="L576" s="1">
        <v>1208617.2</v>
      </c>
      <c r="M576">
        <v>1980</v>
      </c>
      <c r="N576" s="6">
        <v>0</v>
      </c>
    </row>
    <row r="577" spans="1:14" x14ac:dyDescent="0.25">
      <c r="A577" s="14">
        <v>160.19999999999999</v>
      </c>
      <c r="B577" s="14">
        <v>161.69999999999999</v>
      </c>
      <c r="C577" s="14">
        <v>1.98</v>
      </c>
      <c r="D577" s="14">
        <v>519</v>
      </c>
      <c r="E577" s="14">
        <v>318.5</v>
      </c>
      <c r="F577" s="1">
        <v>29.934210526315788</v>
      </c>
      <c r="G577" s="1">
        <f t="shared" si="20"/>
        <v>3.2397003745318353</v>
      </c>
      <c r="H577" s="1">
        <f t="shared" si="21"/>
        <v>80.909090909090907</v>
      </c>
      <c r="I577" s="1">
        <v>5.1086516398974317E-2</v>
      </c>
      <c r="J577" s="1">
        <v>0.54356053448508679</v>
      </c>
      <c r="K577" s="1">
        <v>401005.00440000067</v>
      </c>
      <c r="L577" s="1">
        <v>737737.52684210509</v>
      </c>
      <c r="M577">
        <v>1124</v>
      </c>
      <c r="N577" s="6">
        <v>0</v>
      </c>
    </row>
    <row r="578" spans="1:14" x14ac:dyDescent="0.25">
      <c r="A578" s="14">
        <v>200.7</v>
      </c>
      <c r="B578" s="14">
        <v>202.5</v>
      </c>
      <c r="C578" s="14">
        <v>1.98</v>
      </c>
      <c r="D578" s="14">
        <v>636</v>
      </c>
      <c r="E578" s="14">
        <v>318.5</v>
      </c>
      <c r="F578" s="1">
        <v>29.934210526315788</v>
      </c>
      <c r="G578" s="1">
        <f t="shared" si="20"/>
        <v>3.1689088191330343</v>
      </c>
      <c r="H578" s="1">
        <f t="shared" si="21"/>
        <v>101.36363636363636</v>
      </c>
      <c r="I578" s="1">
        <v>4.0475157579884916E-2</v>
      </c>
      <c r="J578" s="1">
        <v>0.43065567664997551</v>
      </c>
      <c r="K578" s="1">
        <v>503545.44240000076</v>
      </c>
      <c r="L578" s="1">
        <v>1169253.0011842104</v>
      </c>
      <c r="M578">
        <v>1312</v>
      </c>
      <c r="N578" s="6">
        <v>0</v>
      </c>
    </row>
  </sheetData>
  <autoFilter ref="N1:N578" xr:uid="{00000000-0001-0000-0000-000000000000}"/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AllFeature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</dc:creator>
  <cp:lastModifiedBy>学琦 钟</cp:lastModifiedBy>
  <dcterms:created xsi:type="dcterms:W3CDTF">2024-04-03T16:46:25Z</dcterms:created>
  <dcterms:modified xsi:type="dcterms:W3CDTF">2025-09-12T01:59:26Z</dcterms:modified>
</cp:coreProperties>
</file>